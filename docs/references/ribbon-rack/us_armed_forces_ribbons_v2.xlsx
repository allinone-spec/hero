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rent Awards" sheetId="2" state="visible" r:id="rId2"/>
    <sheet xmlns:r="http://schemas.openxmlformats.org/officeDocument/2006/relationships" name="Inactive Awards" sheetId="3" state="visible" r:id="rId3"/>
    <sheet xmlns:r="http://schemas.openxmlformats.org/officeDocument/2006/relationships" name="Foreign Aw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hair">
        <color rgb="00D9D9D9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1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3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Awards_and_decorations_of_the_United_States_Armed_Forces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en.wikipedia.org/wiki/Awards_and_decorations_of_the_United_States_Armed_Forces" TargetMode="External" Id="rId1"/><Relationship Type="http://schemas.openxmlformats.org/officeDocument/2006/relationships/hyperlink" Target="https://en.wikipedia.org/wiki/Awards_and_decorations_of_the_United_States_Armed_Forces" TargetMode="External" Id="rId2"/><Relationship Type="http://schemas.openxmlformats.org/officeDocument/2006/relationships/hyperlink" Target="https://en.wikipedia.org/wiki/Awards_and_decorations_of_the_United_States_Armed_Forces" TargetMode="External" Id="rId3"/><Relationship Type="http://schemas.openxmlformats.org/officeDocument/2006/relationships/hyperlink" Target="https://en.wikipedia.org/wiki/Awards_and_decorations_of_the_United_States_Armed_Forces" TargetMode="External" Id="rId4"/><Relationship Type="http://schemas.openxmlformats.org/officeDocument/2006/relationships/hyperlink" Target="https://en.wikipedia.org/wiki/Awards_and_decorations_of_the_United_States_Armed_Forces" TargetMode="External" Id="rId5"/><Relationship Type="http://schemas.openxmlformats.org/officeDocument/2006/relationships/hyperlink" Target="https://en.wikipedia.org/wiki/Awards_and_decorations_of_the_United_States_Armed_Forces" TargetMode="External" Id="rId6"/><Relationship Type="http://schemas.openxmlformats.org/officeDocument/2006/relationships/hyperlink" Target="https://en.wikipedia.org/wiki/Awards_and_decorations_of_the_United_States_Armed_Forces" TargetMode="External" Id="rId7"/><Relationship Type="http://schemas.openxmlformats.org/officeDocument/2006/relationships/hyperlink" Target="https://en.wikipedia.org/wiki/Awards_and_decorations_of_the_United_States_Armed_Forces" TargetMode="External" Id="rId8"/><Relationship Type="http://schemas.openxmlformats.org/officeDocument/2006/relationships/hyperlink" Target="https://en.wikipedia.org/wiki/Awards_and_decorations_of_the_United_States_Armed_Forces" TargetMode="External" Id="rId9"/><Relationship Type="http://schemas.openxmlformats.org/officeDocument/2006/relationships/hyperlink" Target="https://en.wikipedia.org/wiki/Awards_and_decorations_of_the_United_States_Armed_Forces" TargetMode="External" Id="rId10"/><Relationship Type="http://schemas.openxmlformats.org/officeDocument/2006/relationships/hyperlink" Target="https://en.wikipedia.org/wiki/Awards_and_decorations_of_the_United_States_Armed_Forces" TargetMode="External" Id="rId11"/><Relationship Type="http://schemas.openxmlformats.org/officeDocument/2006/relationships/hyperlink" Target="https://en.wikipedia.org/wiki/Awards_and_decorations_of_the_United_States_Armed_Forces" TargetMode="External" Id="rId12"/><Relationship Type="http://schemas.openxmlformats.org/officeDocument/2006/relationships/hyperlink" Target="https://en.wikipedia.org/wiki/Awards_and_decorations_of_the_United_States_Armed_Forces" TargetMode="External" Id="rId13"/><Relationship Type="http://schemas.openxmlformats.org/officeDocument/2006/relationships/hyperlink" Target="https://en.wikipedia.org/wiki/Awards_and_decorations_of_the_United_States_Armed_Forces" TargetMode="External" Id="rId14"/><Relationship Type="http://schemas.openxmlformats.org/officeDocument/2006/relationships/hyperlink" Target="https://en.wikipedia.org/wiki/Awards_and_decorations_of_the_United_States_Armed_Forces" TargetMode="External" Id="rId15"/><Relationship Type="http://schemas.openxmlformats.org/officeDocument/2006/relationships/hyperlink" Target="https://en.wikipedia.org/wiki/Awards_and_decorations_of_the_United_States_Armed_Forces" TargetMode="External" Id="rId16"/><Relationship Type="http://schemas.openxmlformats.org/officeDocument/2006/relationships/hyperlink" Target="https://en.wikipedia.org/wiki/Awards_and_decorations_of_the_United_States_Armed_Forces" TargetMode="External" Id="rId17"/><Relationship Type="http://schemas.openxmlformats.org/officeDocument/2006/relationships/hyperlink" Target="https://en.wikipedia.org/wiki/Awards_and_decorations_of_the_United_States_Armed_Forces" TargetMode="External" Id="rId18"/><Relationship Type="http://schemas.openxmlformats.org/officeDocument/2006/relationships/hyperlink" Target="https://en.wikipedia.org/wiki/Awards_and_decorations_of_the_United_States_Armed_Forces" TargetMode="External" Id="rId19"/><Relationship Type="http://schemas.openxmlformats.org/officeDocument/2006/relationships/hyperlink" Target="https://en.wikipedia.org/wiki/Awards_and_decorations_of_the_United_States_Armed_Forces" TargetMode="External" Id="rId20"/><Relationship Type="http://schemas.openxmlformats.org/officeDocument/2006/relationships/hyperlink" Target="https://en.wikipedia.org/wiki/Awards_and_decorations_of_the_United_States_Armed_Forces" TargetMode="External" Id="rId21"/><Relationship Type="http://schemas.openxmlformats.org/officeDocument/2006/relationships/hyperlink" Target="https://en.wikipedia.org/wiki/Awards_and_decorations_of_the_United_States_Armed_Forces" TargetMode="External" Id="rId22"/><Relationship Type="http://schemas.openxmlformats.org/officeDocument/2006/relationships/hyperlink" Target="https://en.wikipedia.org/wiki/Awards_and_decorations_of_the_United_States_Armed_Forces" TargetMode="External" Id="rId23"/><Relationship Type="http://schemas.openxmlformats.org/officeDocument/2006/relationships/hyperlink" Target="https://en.wikipedia.org/wiki/Awards_and_decorations_of_the_United_States_Armed_Forces" TargetMode="External" Id="rId24"/><Relationship Type="http://schemas.openxmlformats.org/officeDocument/2006/relationships/hyperlink" Target="https://en.wikipedia.org/wiki/Awards_and_decorations_of_the_United_States_Armed_Forces" TargetMode="External" Id="rId25"/><Relationship Type="http://schemas.openxmlformats.org/officeDocument/2006/relationships/hyperlink" Target="https://en.wikipedia.org/wiki/Awards_and_decorations_of_the_United_States_Armed_Forces" TargetMode="External" Id="rId26"/><Relationship Type="http://schemas.openxmlformats.org/officeDocument/2006/relationships/hyperlink" Target="https://en.wikipedia.org/wiki/Awards_and_decorations_of_the_United_States_Armed_Forces" TargetMode="External" Id="rId27"/><Relationship Type="http://schemas.openxmlformats.org/officeDocument/2006/relationships/hyperlink" Target="https://en.wikipedia.org/wiki/Awards_and_decorations_of_the_United_States_Armed_Forces" TargetMode="External" Id="rId28"/><Relationship Type="http://schemas.openxmlformats.org/officeDocument/2006/relationships/hyperlink" Target="https://en.wikipedia.org/wiki/Awards_and_decorations_of_the_United_States_Armed_Forces" TargetMode="External" Id="rId29"/><Relationship Type="http://schemas.openxmlformats.org/officeDocument/2006/relationships/hyperlink" Target="https://en.wikipedia.org/wiki/Awards_and_decorations_of_the_United_States_Armed_Forces" TargetMode="External" Id="rId30"/><Relationship Type="http://schemas.openxmlformats.org/officeDocument/2006/relationships/hyperlink" Target="https://en.wikipedia.org/wiki/Awards_and_decorations_of_the_United_States_Armed_Forces" TargetMode="External" Id="rId31"/><Relationship Type="http://schemas.openxmlformats.org/officeDocument/2006/relationships/hyperlink" Target="https://en.wikipedia.org/wiki/Awards_and_decorations_of_the_United_States_Armed_Forces" TargetMode="External" Id="rId32"/><Relationship Type="http://schemas.openxmlformats.org/officeDocument/2006/relationships/hyperlink" Target="https://en.wikipedia.org/wiki/Awards_and_decorations_of_the_United_States_Armed_Forces" TargetMode="External" Id="rId33"/><Relationship Type="http://schemas.openxmlformats.org/officeDocument/2006/relationships/hyperlink" Target="https://en.wikipedia.org/wiki/Awards_and_decorations_of_the_United_States_Armed_Forces" TargetMode="External" Id="rId34"/><Relationship Type="http://schemas.openxmlformats.org/officeDocument/2006/relationships/hyperlink" Target="https://en.wikipedia.org/wiki/Awards_and_decorations_of_the_United_States_Armed_Forces" TargetMode="External" Id="rId35"/><Relationship Type="http://schemas.openxmlformats.org/officeDocument/2006/relationships/hyperlink" Target="https://en.wikipedia.org/wiki/Awards_and_decorations_of_the_United_States_Armed_Forces" TargetMode="External" Id="rId36"/><Relationship Type="http://schemas.openxmlformats.org/officeDocument/2006/relationships/hyperlink" Target="https://en.wikipedia.org/wiki/Awards_and_decorations_of_the_United_States_Armed_Forces" TargetMode="External" Id="rId37"/><Relationship Type="http://schemas.openxmlformats.org/officeDocument/2006/relationships/hyperlink" Target="https://en.wikipedia.org/wiki/Awards_and_decorations_of_the_United_States_Armed_Forces" TargetMode="External" Id="rId38"/><Relationship Type="http://schemas.openxmlformats.org/officeDocument/2006/relationships/hyperlink" Target="https://en.wikipedia.org/wiki/Awards_and_decorations_of_the_United_States_Armed_Forces" TargetMode="External" Id="rId39"/><Relationship Type="http://schemas.openxmlformats.org/officeDocument/2006/relationships/hyperlink" Target="https://en.wikipedia.org/wiki/Awards_and_decorations_of_the_United_States_Armed_Forces" TargetMode="External" Id="rId40"/><Relationship Type="http://schemas.openxmlformats.org/officeDocument/2006/relationships/hyperlink" Target="https://en.wikipedia.org/wiki/Awards_and_decorations_of_the_United_States_Armed_Forces" TargetMode="External" Id="rId41"/><Relationship Type="http://schemas.openxmlformats.org/officeDocument/2006/relationships/hyperlink" Target="https://en.wikipedia.org/wiki/Awards_and_decorations_of_the_United_States_Armed_Forces" TargetMode="External" Id="rId42"/><Relationship Type="http://schemas.openxmlformats.org/officeDocument/2006/relationships/hyperlink" Target="https://en.wikipedia.org/wiki/Awards_and_decorations_of_the_United_States_Armed_Forces" TargetMode="External" Id="rId43"/><Relationship Type="http://schemas.openxmlformats.org/officeDocument/2006/relationships/hyperlink" Target="https://en.wikipedia.org/wiki/Awards_and_decorations_of_the_United_States_Armed_Forces" TargetMode="External" Id="rId44"/><Relationship Type="http://schemas.openxmlformats.org/officeDocument/2006/relationships/hyperlink" Target="https://en.wikipedia.org/wiki/Awards_and_decorations_of_the_United_States_Armed_Forces" TargetMode="External" Id="rId45"/><Relationship Type="http://schemas.openxmlformats.org/officeDocument/2006/relationships/hyperlink" Target="https://en.wikipedia.org/wiki/Awards_and_decorations_of_the_United_States_Armed_Forces" TargetMode="External" Id="rId46"/><Relationship Type="http://schemas.openxmlformats.org/officeDocument/2006/relationships/hyperlink" Target="https://en.wikipedia.org/wiki/Awards_and_decorations_of_the_United_States_Armed_Forces" TargetMode="External" Id="rId47"/><Relationship Type="http://schemas.openxmlformats.org/officeDocument/2006/relationships/hyperlink" Target="https://en.wikipedia.org/wiki/Awards_and_decorations_of_the_United_States_Armed_Forces" TargetMode="External" Id="rId48"/><Relationship Type="http://schemas.openxmlformats.org/officeDocument/2006/relationships/hyperlink" Target="https://en.wikipedia.org/wiki/Awards_and_decorations_of_the_United_States_Armed_Forces" TargetMode="External" Id="rId49"/><Relationship Type="http://schemas.openxmlformats.org/officeDocument/2006/relationships/hyperlink" Target="https://en.wikipedia.org/wiki/Awards_and_decorations_of_the_United_States_Armed_Forces" TargetMode="External" Id="rId50"/><Relationship Type="http://schemas.openxmlformats.org/officeDocument/2006/relationships/hyperlink" Target="https://en.wikipedia.org/wiki/Awards_and_decorations_of_the_United_States_Armed_Forces" TargetMode="External" Id="rId51"/><Relationship Type="http://schemas.openxmlformats.org/officeDocument/2006/relationships/hyperlink" Target="https://en.wikipedia.org/wiki/Awards_and_decorations_of_the_United_States_Armed_Forces" TargetMode="External" Id="rId52"/><Relationship Type="http://schemas.openxmlformats.org/officeDocument/2006/relationships/hyperlink" Target="https://en.wikipedia.org/wiki/Awards_and_decorations_of_the_United_States_Armed_Forces" TargetMode="External" Id="rId53"/><Relationship Type="http://schemas.openxmlformats.org/officeDocument/2006/relationships/hyperlink" Target="https://en.wikipedia.org/wiki/Awards_and_decorations_of_the_United_States_Armed_Forces" TargetMode="External" Id="rId54"/><Relationship Type="http://schemas.openxmlformats.org/officeDocument/2006/relationships/hyperlink" Target="https://en.wikipedia.org/wiki/Awards_and_decorations_of_the_United_States_Armed_Forces" TargetMode="External" Id="rId55"/><Relationship Type="http://schemas.openxmlformats.org/officeDocument/2006/relationships/hyperlink" Target="https://en.wikipedia.org/wiki/Awards_and_decorations_of_the_United_States_Armed_Forces" TargetMode="External" Id="rId56"/><Relationship Type="http://schemas.openxmlformats.org/officeDocument/2006/relationships/hyperlink" Target="https://en.wikipedia.org/wiki/Awards_and_decorations_of_the_United_States_Armed_Forces" TargetMode="External" Id="rId57"/><Relationship Type="http://schemas.openxmlformats.org/officeDocument/2006/relationships/hyperlink" Target="https://en.wikipedia.org/wiki/Awards_and_decorations_of_the_United_States_Armed_Forces" TargetMode="External" Id="rId58"/><Relationship Type="http://schemas.openxmlformats.org/officeDocument/2006/relationships/hyperlink" Target="https://en.wikipedia.org/wiki/Awards_and_decorations_of_the_United_States_Armed_Forces" TargetMode="External" Id="rId59"/><Relationship Type="http://schemas.openxmlformats.org/officeDocument/2006/relationships/hyperlink" Target="https://en.wikipedia.org/wiki/Awards_and_decorations_of_the_United_States_Armed_Forces" TargetMode="External" Id="rId60"/><Relationship Type="http://schemas.openxmlformats.org/officeDocument/2006/relationships/hyperlink" Target="https://en.wikipedia.org/wiki/Awards_and_decorations_of_the_United_States_Armed_Forces" TargetMode="External" Id="rId61"/><Relationship Type="http://schemas.openxmlformats.org/officeDocument/2006/relationships/hyperlink" Target="https://en.wikipedia.org/wiki/Awards_and_decorations_of_the_United_States_Armed_Forces" TargetMode="External" Id="rId62"/><Relationship Type="http://schemas.openxmlformats.org/officeDocument/2006/relationships/hyperlink" Target="https://en.wikipedia.org/wiki/Awards_and_decorations_of_the_United_States_Armed_Forces" TargetMode="External" Id="rId63"/><Relationship Type="http://schemas.openxmlformats.org/officeDocument/2006/relationships/hyperlink" Target="https://en.wikipedia.org/wiki/Awards_and_decorations_of_the_United_States_Armed_Forces" TargetMode="External" Id="rId64"/><Relationship Type="http://schemas.openxmlformats.org/officeDocument/2006/relationships/hyperlink" Target="https://en.wikipedia.org/wiki/Awards_and_decorations_of_the_United_States_Armed_Forces" TargetMode="External" Id="rId65"/><Relationship Type="http://schemas.openxmlformats.org/officeDocument/2006/relationships/hyperlink" Target="https://en.wikipedia.org/wiki/Awards_and_decorations_of_the_United_States_Armed_Forces" TargetMode="External" Id="rId66"/><Relationship Type="http://schemas.openxmlformats.org/officeDocument/2006/relationships/hyperlink" Target="https://en.wikipedia.org/wiki/Awards_and_decorations_of_the_United_States_Armed_Forces" TargetMode="External" Id="rId67"/><Relationship Type="http://schemas.openxmlformats.org/officeDocument/2006/relationships/hyperlink" Target="https://en.wikipedia.org/wiki/Awards_and_decorations_of_the_United_States_Armed_Forces" TargetMode="External" Id="rId68"/><Relationship Type="http://schemas.openxmlformats.org/officeDocument/2006/relationships/hyperlink" Target="https://en.wikipedia.org/wiki/Awards_and_decorations_of_the_United_States_Armed_Forces" TargetMode="External" Id="rId69"/><Relationship Type="http://schemas.openxmlformats.org/officeDocument/2006/relationships/hyperlink" Target="https://en.wikipedia.org/wiki/Awards_and_decorations_of_the_United_States_Armed_Forces" TargetMode="External" Id="rId70"/><Relationship Type="http://schemas.openxmlformats.org/officeDocument/2006/relationships/hyperlink" Target="https://en.wikipedia.org/wiki/Awards_and_decorations_of_the_United_States_Armed_Forces" TargetMode="External" Id="rId71"/><Relationship Type="http://schemas.openxmlformats.org/officeDocument/2006/relationships/hyperlink" Target="https://en.wikipedia.org/wiki/Awards_and_decorations_of_the_United_States_Armed_Forces" TargetMode="External" Id="rId72"/><Relationship Type="http://schemas.openxmlformats.org/officeDocument/2006/relationships/hyperlink" Target="https://en.wikipedia.org/wiki/Awards_and_decorations_of_the_United_States_Armed_Forces" TargetMode="External" Id="rId73"/><Relationship Type="http://schemas.openxmlformats.org/officeDocument/2006/relationships/hyperlink" Target="https://en.wikipedia.org/wiki/Awards_and_decorations_of_the_United_States_Armed_Forces" TargetMode="External" Id="rId74"/><Relationship Type="http://schemas.openxmlformats.org/officeDocument/2006/relationships/hyperlink" Target="https://en.wikipedia.org/wiki/Awards_and_decorations_of_the_United_States_Armed_Forces" TargetMode="External" Id="rId75"/><Relationship Type="http://schemas.openxmlformats.org/officeDocument/2006/relationships/hyperlink" Target="https://en.wikipedia.org/wiki/Awards_and_decorations_of_the_United_States_Armed_Forces" TargetMode="External" Id="rId76"/><Relationship Type="http://schemas.openxmlformats.org/officeDocument/2006/relationships/hyperlink" Target="https://en.wikipedia.org/wiki/Awards_and_decorations_of_the_United_States_Armed_Forces" TargetMode="External" Id="rId77"/><Relationship Type="http://schemas.openxmlformats.org/officeDocument/2006/relationships/hyperlink" Target="https://en.wikipedia.org/wiki/Awards_and_decorations_of_the_United_States_Armed_Forces" TargetMode="External" Id="rId78"/><Relationship Type="http://schemas.openxmlformats.org/officeDocument/2006/relationships/hyperlink" Target="https://en.wikipedia.org/wiki/Awards_and_decorations_of_the_United_States_Armed_Forces" TargetMode="External" Id="rId79"/><Relationship Type="http://schemas.openxmlformats.org/officeDocument/2006/relationships/hyperlink" Target="https://en.wikipedia.org/wiki/Awards_and_decorations_of_the_United_States_Armed_Forces" TargetMode="External" Id="rId80"/><Relationship Type="http://schemas.openxmlformats.org/officeDocument/2006/relationships/hyperlink" Target="https://en.wikipedia.org/wiki/Awards_and_decorations_of_the_United_States_Armed_Forces" TargetMode="External" Id="rId81"/><Relationship Type="http://schemas.openxmlformats.org/officeDocument/2006/relationships/hyperlink" Target="https://en.wikipedia.org/wiki/Awards_and_decorations_of_the_United_States_Armed_Forces" TargetMode="External" Id="rId82"/><Relationship Type="http://schemas.openxmlformats.org/officeDocument/2006/relationships/hyperlink" Target="https://en.wikipedia.org/wiki/Awards_and_decorations_of_the_United_States_Armed_Forces" TargetMode="External" Id="rId83"/><Relationship Type="http://schemas.openxmlformats.org/officeDocument/2006/relationships/hyperlink" Target="https://en.wikipedia.org/wiki/Awards_and_decorations_of_the_United_States_Armed_Forces" TargetMode="External" Id="rId84"/><Relationship Type="http://schemas.openxmlformats.org/officeDocument/2006/relationships/hyperlink" Target="https://en.wikipedia.org/wiki/Awards_and_decorations_of_the_United_States_Armed_Forces" TargetMode="External" Id="rId85"/><Relationship Type="http://schemas.openxmlformats.org/officeDocument/2006/relationships/hyperlink" Target="https://en.wikipedia.org/wiki/Awards_and_decorations_of_the_United_States_Armed_Forces" TargetMode="External" Id="rId86"/><Relationship Type="http://schemas.openxmlformats.org/officeDocument/2006/relationships/hyperlink" Target="https://en.wikipedia.org/wiki/Awards_and_decorations_of_the_United_States_Armed_Forces" TargetMode="External" Id="rId87"/><Relationship Type="http://schemas.openxmlformats.org/officeDocument/2006/relationships/hyperlink" Target="https://en.wikipedia.org/wiki/Awards_and_decorations_of_the_United_States_Armed_Forces" TargetMode="External" Id="rId88"/><Relationship Type="http://schemas.openxmlformats.org/officeDocument/2006/relationships/hyperlink" Target="https://en.wikipedia.org/wiki/Awards_and_decorations_of_the_United_States_Armed_Forces" TargetMode="External" Id="rId89"/><Relationship Type="http://schemas.openxmlformats.org/officeDocument/2006/relationships/hyperlink" Target="https://en.wikipedia.org/wiki/Awards_and_decorations_of_the_United_States_Armed_Forces" TargetMode="External" Id="rId90"/><Relationship Type="http://schemas.openxmlformats.org/officeDocument/2006/relationships/hyperlink" Target="https://en.wikipedia.org/wiki/Awards_and_decorations_of_the_United_States_Armed_Forces" TargetMode="External" Id="rId91"/><Relationship Type="http://schemas.openxmlformats.org/officeDocument/2006/relationships/hyperlink" Target="https://en.wikipedia.org/wiki/Awards_and_decorations_of_the_United_States_Armed_Forces" TargetMode="External" Id="rId92"/><Relationship Type="http://schemas.openxmlformats.org/officeDocument/2006/relationships/hyperlink" Target="https://en.wikipedia.org/wiki/Awards_and_decorations_of_the_United_States_Armed_Forces" TargetMode="External" Id="rId93"/><Relationship Type="http://schemas.openxmlformats.org/officeDocument/2006/relationships/hyperlink" Target="https://en.wikipedia.org/wiki/Awards_and_decorations_of_the_United_States_Armed_Forces" TargetMode="External" Id="rId94"/><Relationship Type="http://schemas.openxmlformats.org/officeDocument/2006/relationships/hyperlink" Target="https://en.wikipedia.org/wiki/Awards_and_decorations_of_the_United_States_Armed_Forces" TargetMode="External" Id="rId95"/><Relationship Type="http://schemas.openxmlformats.org/officeDocument/2006/relationships/hyperlink" Target="https://en.wikipedia.org/wiki/Awards_and_decorations_of_the_United_States_Armed_Forces" TargetMode="External" Id="rId96"/><Relationship Type="http://schemas.openxmlformats.org/officeDocument/2006/relationships/hyperlink" Target="https://en.wikipedia.org/wiki/Awards_and_decorations_of_the_United_States_Armed_Forces" TargetMode="External" Id="rId97"/><Relationship Type="http://schemas.openxmlformats.org/officeDocument/2006/relationships/hyperlink" Target="https://en.wikipedia.org/wiki/Awards_and_decorations_of_the_United_States_Armed_Forces" TargetMode="External" Id="rId98"/><Relationship Type="http://schemas.openxmlformats.org/officeDocument/2006/relationships/hyperlink" Target="https://en.wikipedia.org/wiki/Awards_and_decorations_of_the_United_States_Armed_Forces" TargetMode="External" Id="rId99"/><Relationship Type="http://schemas.openxmlformats.org/officeDocument/2006/relationships/hyperlink" Target="https://en.wikipedia.org/wiki/Awards_and_decorations_of_the_United_States_Armed_Forces" TargetMode="External" Id="rId100"/><Relationship Type="http://schemas.openxmlformats.org/officeDocument/2006/relationships/hyperlink" Target="https://en.wikipedia.org/wiki/Awards_and_decorations_of_the_United_States_Armed_Forces" TargetMode="External" Id="rId101"/><Relationship Type="http://schemas.openxmlformats.org/officeDocument/2006/relationships/hyperlink" Target="https://en.wikipedia.org/wiki/Awards_and_decorations_of_the_United_States_Armed_Forces" TargetMode="External" Id="rId102"/><Relationship Type="http://schemas.openxmlformats.org/officeDocument/2006/relationships/hyperlink" Target="https://en.wikipedia.org/wiki/Awards_and_decorations_of_the_United_States_Armed_Forces" TargetMode="External" Id="rId103"/><Relationship Type="http://schemas.openxmlformats.org/officeDocument/2006/relationships/hyperlink" Target="https://en.wikipedia.org/wiki/Awards_and_decorations_of_the_United_States_Armed_Forces" TargetMode="External" Id="rId104"/><Relationship Type="http://schemas.openxmlformats.org/officeDocument/2006/relationships/hyperlink" Target="https://en.wikipedia.org/wiki/Awards_and_decorations_of_the_United_States_Armed_Forces" TargetMode="External" Id="rId105"/><Relationship Type="http://schemas.openxmlformats.org/officeDocument/2006/relationships/hyperlink" Target="https://en.wikipedia.org/wiki/Awards_and_decorations_of_the_United_States_Armed_Forces" TargetMode="External" Id="rId106"/><Relationship Type="http://schemas.openxmlformats.org/officeDocument/2006/relationships/hyperlink" Target="https://en.wikipedia.org/wiki/Awards_and_decorations_of_the_United_States_Armed_Forces" TargetMode="External" Id="rId107"/><Relationship Type="http://schemas.openxmlformats.org/officeDocument/2006/relationships/hyperlink" Target="https://en.wikipedia.org/wiki/Awards_and_decorations_of_the_United_States_Armed_Forces" TargetMode="External" Id="rId108"/><Relationship Type="http://schemas.openxmlformats.org/officeDocument/2006/relationships/hyperlink" Target="https://en.wikipedia.org/wiki/Awards_and_decorations_of_the_United_States_Armed_Forces" TargetMode="External" Id="rId109"/><Relationship Type="http://schemas.openxmlformats.org/officeDocument/2006/relationships/hyperlink" Target="https://en.wikipedia.org/wiki/Awards_and_decorations_of_the_United_States_Armed_Forces" TargetMode="External" Id="rId110"/><Relationship Type="http://schemas.openxmlformats.org/officeDocument/2006/relationships/hyperlink" Target="https://en.wikipedia.org/wiki/Awards_and_decorations_of_the_United_States_Armed_Forces" TargetMode="External" Id="rId111"/><Relationship Type="http://schemas.openxmlformats.org/officeDocument/2006/relationships/hyperlink" Target="https://en.wikipedia.org/wiki/Awards_and_decorations_of_the_United_States_Armed_Forces" TargetMode="External" Id="rId112"/><Relationship Type="http://schemas.openxmlformats.org/officeDocument/2006/relationships/hyperlink" Target="https://en.wikipedia.org/wiki/Awards_and_decorations_of_the_United_States_Armed_Forces" TargetMode="External" Id="rId113"/><Relationship Type="http://schemas.openxmlformats.org/officeDocument/2006/relationships/hyperlink" Target="https://en.wikipedia.org/wiki/Awards_and_decorations_of_the_United_States_Armed_Forces" TargetMode="External" Id="rId114"/><Relationship Type="http://schemas.openxmlformats.org/officeDocument/2006/relationships/hyperlink" Target="https://en.wikipedia.org/wiki/Awards_and_decorations_of_the_United_States_Armed_Forces" TargetMode="External" Id="rId115"/><Relationship Type="http://schemas.openxmlformats.org/officeDocument/2006/relationships/hyperlink" Target="https://en.wikipedia.org/wiki/Awards_and_decorations_of_the_United_States_Armed_Forces" TargetMode="External" Id="rId116"/><Relationship Type="http://schemas.openxmlformats.org/officeDocument/2006/relationships/hyperlink" Target="https://en.wikipedia.org/wiki/Awards_and_decorations_of_the_United_States_Armed_Forces" TargetMode="External" Id="rId117"/><Relationship Type="http://schemas.openxmlformats.org/officeDocument/2006/relationships/hyperlink" Target="https://en.wikipedia.org/wiki/Awards_and_decorations_of_the_United_States_Armed_Forces" TargetMode="External" Id="rId118"/><Relationship Type="http://schemas.openxmlformats.org/officeDocument/2006/relationships/hyperlink" Target="https://en.wikipedia.org/wiki/Awards_and_decorations_of_the_United_States_Armed_Forces" TargetMode="External" Id="rId119"/><Relationship Type="http://schemas.openxmlformats.org/officeDocument/2006/relationships/hyperlink" Target="https://en.wikipedia.org/wiki/Awards_and_decorations_of_the_United_States_Armed_Forces" TargetMode="External" Id="rId120"/><Relationship Type="http://schemas.openxmlformats.org/officeDocument/2006/relationships/hyperlink" Target="https://en.wikipedia.org/wiki/Awards_and_decorations_of_the_United_States_Armed_Forces" TargetMode="External" Id="rId121"/><Relationship Type="http://schemas.openxmlformats.org/officeDocument/2006/relationships/hyperlink" Target="https://en.wikipedia.org/wiki/Awards_and_decorations_of_the_United_States_Armed_Forces" TargetMode="External" Id="rId122"/><Relationship Type="http://schemas.openxmlformats.org/officeDocument/2006/relationships/hyperlink" Target="https://en.wikipedia.org/wiki/Awards_and_decorations_of_the_United_States_Armed_Forces" TargetMode="External" Id="rId123"/><Relationship Type="http://schemas.openxmlformats.org/officeDocument/2006/relationships/hyperlink" Target="https://en.wikipedia.org/wiki/Awards_and_decorations_of_the_United_States_Armed_Forces" TargetMode="External" Id="rId124"/><Relationship Type="http://schemas.openxmlformats.org/officeDocument/2006/relationships/hyperlink" Target="https://en.wikipedia.org/wiki/Awards_and_decorations_of_the_United_States_Armed_Forces" TargetMode="External" Id="rId125"/><Relationship Type="http://schemas.openxmlformats.org/officeDocument/2006/relationships/hyperlink" Target="https://en.wikipedia.org/wiki/Awards_and_decorations_of_the_United_States_Armed_Forces" TargetMode="External" Id="rId126"/><Relationship Type="http://schemas.openxmlformats.org/officeDocument/2006/relationships/hyperlink" Target="https://en.wikipedia.org/wiki/Awards_and_decorations_of_the_United_States_Armed_Forces" TargetMode="External" Id="rId127"/><Relationship Type="http://schemas.openxmlformats.org/officeDocument/2006/relationships/hyperlink" Target="https://en.wikipedia.org/wiki/Awards_and_decorations_of_the_United_States_Armed_Forces" TargetMode="External" Id="rId128"/><Relationship Type="http://schemas.openxmlformats.org/officeDocument/2006/relationships/hyperlink" Target="https://en.wikipedia.org/wiki/Awards_and_decorations_of_the_United_States_Armed_Forces" TargetMode="External" Id="rId129"/></Relationships>
</file>

<file path=xl/worksheets/_rels/sheet3.xml.rels><Relationships xmlns="http://schemas.openxmlformats.org/package/2006/relationships"><Relationship Type="http://schemas.openxmlformats.org/officeDocument/2006/relationships/hyperlink" Target="https://en.wikipedia.org/wiki/Awards_and_decorations_of_the_United_States_Armed_Forces" TargetMode="External" Id="rId1"/><Relationship Type="http://schemas.openxmlformats.org/officeDocument/2006/relationships/hyperlink" Target="https://en.wikipedia.org/wiki/Awards_and_decorations_of_the_United_States_Armed_Forces" TargetMode="External" Id="rId2"/><Relationship Type="http://schemas.openxmlformats.org/officeDocument/2006/relationships/hyperlink" Target="https://en.wikipedia.org/wiki/Awards_and_decorations_of_the_United_States_Armed_Forces" TargetMode="External" Id="rId3"/><Relationship Type="http://schemas.openxmlformats.org/officeDocument/2006/relationships/hyperlink" Target="https://en.wikipedia.org/wiki/Awards_and_decorations_of_the_United_States_Armed_Forces" TargetMode="External" Id="rId4"/><Relationship Type="http://schemas.openxmlformats.org/officeDocument/2006/relationships/hyperlink" Target="https://en.wikipedia.org/wiki/Awards_and_decorations_of_the_United_States_Armed_Forces" TargetMode="External" Id="rId5"/><Relationship Type="http://schemas.openxmlformats.org/officeDocument/2006/relationships/hyperlink" Target="https://en.wikipedia.org/wiki/Awards_and_decorations_of_the_United_States_Armed_Forces" TargetMode="External" Id="rId6"/><Relationship Type="http://schemas.openxmlformats.org/officeDocument/2006/relationships/hyperlink" Target="https://en.wikipedia.org/wiki/Awards_and_decorations_of_the_United_States_Armed_Forces" TargetMode="External" Id="rId7"/><Relationship Type="http://schemas.openxmlformats.org/officeDocument/2006/relationships/hyperlink" Target="https://en.wikipedia.org/wiki/Awards_and_decorations_of_the_United_States_Armed_Forces" TargetMode="External" Id="rId8"/><Relationship Type="http://schemas.openxmlformats.org/officeDocument/2006/relationships/hyperlink" Target="https://en.wikipedia.org/wiki/Awards_and_decorations_of_the_United_States_Armed_Forces" TargetMode="External" Id="rId9"/><Relationship Type="http://schemas.openxmlformats.org/officeDocument/2006/relationships/hyperlink" Target="https://en.wikipedia.org/wiki/Awards_and_decorations_of_the_United_States_Armed_Forces" TargetMode="External" Id="rId10"/><Relationship Type="http://schemas.openxmlformats.org/officeDocument/2006/relationships/hyperlink" Target="https://en.wikipedia.org/wiki/Awards_and_decorations_of_the_United_States_Armed_Forces" TargetMode="External" Id="rId11"/><Relationship Type="http://schemas.openxmlformats.org/officeDocument/2006/relationships/hyperlink" Target="https://en.wikipedia.org/wiki/Awards_and_decorations_of_the_United_States_Armed_Forces" TargetMode="External" Id="rId12"/><Relationship Type="http://schemas.openxmlformats.org/officeDocument/2006/relationships/hyperlink" Target="https://en.wikipedia.org/wiki/Awards_and_decorations_of_the_United_States_Armed_Forces" TargetMode="External" Id="rId13"/><Relationship Type="http://schemas.openxmlformats.org/officeDocument/2006/relationships/hyperlink" Target="https://en.wikipedia.org/wiki/Awards_and_decorations_of_the_United_States_Armed_Forces" TargetMode="External" Id="rId14"/><Relationship Type="http://schemas.openxmlformats.org/officeDocument/2006/relationships/hyperlink" Target="https://en.wikipedia.org/wiki/Awards_and_decorations_of_the_United_States_Armed_Forces" TargetMode="External" Id="rId15"/><Relationship Type="http://schemas.openxmlformats.org/officeDocument/2006/relationships/hyperlink" Target="https://en.wikipedia.org/wiki/Awards_and_decorations_of_the_United_States_Armed_Forces" TargetMode="External" Id="rId16"/><Relationship Type="http://schemas.openxmlformats.org/officeDocument/2006/relationships/hyperlink" Target="https://en.wikipedia.org/wiki/Awards_and_decorations_of_the_United_States_Armed_Forces" TargetMode="External" Id="rId17"/><Relationship Type="http://schemas.openxmlformats.org/officeDocument/2006/relationships/hyperlink" Target="https://en.wikipedia.org/wiki/Awards_and_decorations_of_the_United_States_Armed_Forces" TargetMode="External" Id="rId18"/><Relationship Type="http://schemas.openxmlformats.org/officeDocument/2006/relationships/hyperlink" Target="https://en.wikipedia.org/wiki/Awards_and_decorations_of_the_United_States_Armed_Forces" TargetMode="External" Id="rId19"/><Relationship Type="http://schemas.openxmlformats.org/officeDocument/2006/relationships/hyperlink" Target="https://en.wikipedia.org/wiki/Awards_and_decorations_of_the_United_States_Armed_Forces" TargetMode="External" Id="rId20"/><Relationship Type="http://schemas.openxmlformats.org/officeDocument/2006/relationships/hyperlink" Target="https://en.wikipedia.org/wiki/Awards_and_decorations_of_the_United_States_Armed_Forces" TargetMode="External" Id="rId21"/><Relationship Type="http://schemas.openxmlformats.org/officeDocument/2006/relationships/hyperlink" Target="https://en.wikipedia.org/wiki/Awards_and_decorations_of_the_United_States_Armed_Forces" TargetMode="External" Id="rId22"/><Relationship Type="http://schemas.openxmlformats.org/officeDocument/2006/relationships/hyperlink" Target="https://en.wikipedia.org/wiki/Awards_and_decorations_of_the_United_States_Armed_Forces" TargetMode="External" Id="rId23"/><Relationship Type="http://schemas.openxmlformats.org/officeDocument/2006/relationships/hyperlink" Target="https://en.wikipedia.org/wiki/Awards_and_decorations_of_the_United_States_Armed_Forces" TargetMode="External" Id="rId24"/><Relationship Type="http://schemas.openxmlformats.org/officeDocument/2006/relationships/hyperlink" Target="https://en.wikipedia.org/wiki/Awards_and_decorations_of_the_United_States_Armed_Forces" TargetMode="External" Id="rId25"/><Relationship Type="http://schemas.openxmlformats.org/officeDocument/2006/relationships/hyperlink" Target="https://en.wikipedia.org/wiki/Awards_and_decorations_of_the_United_States_Armed_Forces" TargetMode="External" Id="rId26"/><Relationship Type="http://schemas.openxmlformats.org/officeDocument/2006/relationships/hyperlink" Target="https://en.wikipedia.org/wiki/Awards_and_decorations_of_the_United_States_Armed_Forces" TargetMode="External" Id="rId27"/><Relationship Type="http://schemas.openxmlformats.org/officeDocument/2006/relationships/hyperlink" Target="https://en.wikipedia.org/wiki/Awards_and_decorations_of_the_United_States_Armed_Forces" TargetMode="External" Id="rId28"/><Relationship Type="http://schemas.openxmlformats.org/officeDocument/2006/relationships/hyperlink" Target="https://en.wikipedia.org/wiki/Awards_and_decorations_of_the_United_States_Armed_Forces" TargetMode="External" Id="rId29"/><Relationship Type="http://schemas.openxmlformats.org/officeDocument/2006/relationships/hyperlink" Target="https://en.wikipedia.org/wiki/Awards_and_decorations_of_the_United_States_Armed_Forces" TargetMode="External" Id="rId30"/><Relationship Type="http://schemas.openxmlformats.org/officeDocument/2006/relationships/hyperlink" Target="https://en.wikipedia.org/wiki/Awards_and_decorations_of_the_United_States_Armed_Forces" TargetMode="External" Id="rId31"/><Relationship Type="http://schemas.openxmlformats.org/officeDocument/2006/relationships/hyperlink" Target="https://en.wikipedia.org/wiki/Awards_and_decorations_of_the_United_States_Armed_Forces" TargetMode="External" Id="rId32"/><Relationship Type="http://schemas.openxmlformats.org/officeDocument/2006/relationships/hyperlink" Target="https://en.wikipedia.org/wiki/Awards_and_decorations_of_the_United_States_Armed_Forces" TargetMode="External" Id="rId33"/><Relationship Type="http://schemas.openxmlformats.org/officeDocument/2006/relationships/hyperlink" Target="https://en.wikipedia.org/wiki/Awards_and_decorations_of_the_United_States_Armed_Forces" TargetMode="External" Id="rId34"/><Relationship Type="http://schemas.openxmlformats.org/officeDocument/2006/relationships/hyperlink" Target="https://en.wikipedia.org/wiki/Awards_and_decorations_of_the_United_States_Armed_Forces" TargetMode="External" Id="rId35"/><Relationship Type="http://schemas.openxmlformats.org/officeDocument/2006/relationships/hyperlink" Target="https://en.wikipedia.org/wiki/Awards_and_decorations_of_the_United_States_Armed_Forces" TargetMode="External" Id="rId36"/><Relationship Type="http://schemas.openxmlformats.org/officeDocument/2006/relationships/hyperlink" Target="https://en.wikipedia.org/wiki/Awards_and_decorations_of_the_United_States_Armed_Forces" TargetMode="External" Id="rId37"/><Relationship Type="http://schemas.openxmlformats.org/officeDocument/2006/relationships/hyperlink" Target="https://en.wikipedia.org/wiki/Awards_and_decorations_of_the_United_States_Armed_Forces" TargetMode="External" Id="rId38"/><Relationship Type="http://schemas.openxmlformats.org/officeDocument/2006/relationships/hyperlink" Target="https://en.wikipedia.org/wiki/Awards_and_decorations_of_the_United_States_Armed_Forces" TargetMode="External" Id="rId39"/><Relationship Type="http://schemas.openxmlformats.org/officeDocument/2006/relationships/hyperlink" Target="https://en.wikipedia.org/wiki/Awards_and_decorations_of_the_United_States_Armed_Forces" TargetMode="External" Id="rId40"/><Relationship Type="http://schemas.openxmlformats.org/officeDocument/2006/relationships/hyperlink" Target="https://en.wikipedia.org/wiki/Awards_and_decorations_of_the_United_States_Armed_Forces" TargetMode="External" Id="rId41"/><Relationship Type="http://schemas.openxmlformats.org/officeDocument/2006/relationships/hyperlink" Target="https://en.wikipedia.org/wiki/Awards_and_decorations_of_the_United_States_Armed_Forces" TargetMode="External" Id="rId42"/><Relationship Type="http://schemas.openxmlformats.org/officeDocument/2006/relationships/hyperlink" Target="https://en.wikipedia.org/wiki/Awards_and_decorations_of_the_United_States_Armed_Forces" TargetMode="External" Id="rId43"/><Relationship Type="http://schemas.openxmlformats.org/officeDocument/2006/relationships/hyperlink" Target="https://en.wikipedia.org/wiki/Awards_and_decorations_of_the_United_States_Armed_Forces" TargetMode="External" Id="rId44"/><Relationship Type="http://schemas.openxmlformats.org/officeDocument/2006/relationships/hyperlink" Target="https://en.wikipedia.org/wiki/Awards_and_decorations_of_the_United_States_Armed_Forces" TargetMode="External" Id="rId45"/><Relationship Type="http://schemas.openxmlformats.org/officeDocument/2006/relationships/hyperlink" Target="https://en.wikipedia.org/wiki/Awards_and_decorations_of_the_United_States_Armed_Forces" TargetMode="External" Id="rId46"/><Relationship Type="http://schemas.openxmlformats.org/officeDocument/2006/relationships/hyperlink" Target="https://en.wikipedia.org/wiki/Awards_and_decorations_of_the_United_States_Armed_Forces" TargetMode="External" Id="rId47"/><Relationship Type="http://schemas.openxmlformats.org/officeDocument/2006/relationships/hyperlink" Target="https://en.wikipedia.org/wiki/Awards_and_decorations_of_the_United_States_Armed_Forces" TargetMode="External" Id="rId48"/><Relationship Type="http://schemas.openxmlformats.org/officeDocument/2006/relationships/hyperlink" Target="https://en.wikipedia.org/wiki/Awards_and_decorations_of_the_United_States_Armed_Forces" TargetMode="External" Id="rId49"/><Relationship Type="http://schemas.openxmlformats.org/officeDocument/2006/relationships/hyperlink" Target="https://en.wikipedia.org/wiki/Awards_and_decorations_of_the_United_States_Armed_Forces" TargetMode="External" Id="rId50"/><Relationship Type="http://schemas.openxmlformats.org/officeDocument/2006/relationships/hyperlink" Target="https://en.wikipedia.org/wiki/Awards_and_decorations_of_the_United_States_Armed_Forces" TargetMode="External" Id="rId51"/><Relationship Type="http://schemas.openxmlformats.org/officeDocument/2006/relationships/hyperlink" Target="https://en.wikipedia.org/wiki/Awards_and_decorations_of_the_United_States_Armed_Forces" TargetMode="External" Id="rId52"/><Relationship Type="http://schemas.openxmlformats.org/officeDocument/2006/relationships/hyperlink" Target="https://en.wikipedia.org/wiki/Awards_and_decorations_of_the_United_States_Armed_Forces" TargetMode="External" Id="rId53"/><Relationship Type="http://schemas.openxmlformats.org/officeDocument/2006/relationships/hyperlink" Target="https://en.wikipedia.org/wiki/Awards_and_decorations_of_the_United_States_Armed_Forces" TargetMode="External" Id="rId54"/><Relationship Type="http://schemas.openxmlformats.org/officeDocument/2006/relationships/hyperlink" Target="https://en.wikipedia.org/wiki/Awards_and_decorations_of_the_United_States_Armed_Forces" TargetMode="External" Id="rId55"/><Relationship Type="http://schemas.openxmlformats.org/officeDocument/2006/relationships/hyperlink" Target="https://en.wikipedia.org/wiki/Awards_and_decorations_of_the_United_States_Armed_Forces" TargetMode="External" Id="rId56"/><Relationship Type="http://schemas.openxmlformats.org/officeDocument/2006/relationships/hyperlink" Target="https://en.wikipedia.org/wiki/Awards_and_decorations_of_the_United_States_Armed_Forces" TargetMode="External" Id="rId57"/><Relationship Type="http://schemas.openxmlformats.org/officeDocument/2006/relationships/hyperlink" Target="https://en.wikipedia.org/wiki/Awards_and_decorations_of_the_United_States_Armed_Forces" TargetMode="External" Id="rId58"/><Relationship Type="http://schemas.openxmlformats.org/officeDocument/2006/relationships/hyperlink" Target="https://en.wikipedia.org/wiki/Awards_and_decorations_of_the_United_States_Armed_Forces" TargetMode="External" Id="rId59"/><Relationship Type="http://schemas.openxmlformats.org/officeDocument/2006/relationships/hyperlink" Target="https://en.wikipedia.org/wiki/Awards_and_decorations_of_the_United_States_Armed_Forces" TargetMode="External" Id="rId60"/><Relationship Type="http://schemas.openxmlformats.org/officeDocument/2006/relationships/hyperlink" Target="https://en.wikipedia.org/wiki/Awards_and_decorations_of_the_United_States_Armed_Forces" TargetMode="External" Id="rId61"/><Relationship Type="http://schemas.openxmlformats.org/officeDocument/2006/relationships/hyperlink" Target="https://en.wikipedia.org/wiki/Awards_and_decorations_of_the_United_States_Armed_Forces" TargetMode="External" Id="rId62"/><Relationship Type="http://schemas.openxmlformats.org/officeDocument/2006/relationships/hyperlink" Target="https://en.wikipedia.org/wiki/Awards_and_decorations_of_the_United_States_Armed_Forces" TargetMode="External" Id="rId63"/><Relationship Type="http://schemas.openxmlformats.org/officeDocument/2006/relationships/hyperlink" Target="https://en.wikipedia.org/wiki/Awards_and_decorations_of_the_United_States_Armed_Forces" TargetMode="External" Id="rId64"/><Relationship Type="http://schemas.openxmlformats.org/officeDocument/2006/relationships/hyperlink" Target="https://en.wikipedia.org/wiki/Awards_and_decorations_of_the_United_States_Armed_Forces" TargetMode="External" Id="rId65"/><Relationship Type="http://schemas.openxmlformats.org/officeDocument/2006/relationships/hyperlink" Target="https://en.wikipedia.org/wiki/Awards_and_decorations_of_the_United_States_Armed_Forces" TargetMode="External" Id="rId66"/><Relationship Type="http://schemas.openxmlformats.org/officeDocument/2006/relationships/hyperlink" Target="https://en.wikipedia.org/wiki/Awards_and_decorations_of_the_United_States_Armed_Forces" TargetMode="External" Id="rId67"/><Relationship Type="http://schemas.openxmlformats.org/officeDocument/2006/relationships/hyperlink" Target="https://en.wikipedia.org/wiki/Awards_and_decorations_of_the_United_States_Armed_Forces" TargetMode="External" Id="rId68"/><Relationship Type="http://schemas.openxmlformats.org/officeDocument/2006/relationships/hyperlink" Target="https://en.wikipedia.org/wiki/Awards_and_decorations_of_the_United_States_Armed_Forces" TargetMode="External" Id="rId69"/><Relationship Type="http://schemas.openxmlformats.org/officeDocument/2006/relationships/hyperlink" Target="https://en.wikipedia.org/wiki/Awards_and_decorations_of_the_United_States_Armed_Forces" TargetMode="External" Id="rId70"/><Relationship Type="http://schemas.openxmlformats.org/officeDocument/2006/relationships/hyperlink" Target="https://en.wikipedia.org/wiki/Awards_and_decorations_of_the_United_States_Armed_Forces" TargetMode="External" Id="rId71"/><Relationship Type="http://schemas.openxmlformats.org/officeDocument/2006/relationships/hyperlink" Target="https://en.wikipedia.org/wiki/Awards_and_decorations_of_the_United_States_Armed_Forces" TargetMode="External" Id="rId72"/><Relationship Type="http://schemas.openxmlformats.org/officeDocument/2006/relationships/hyperlink" Target="https://en.wikipedia.org/wiki/Awards_and_decorations_of_the_United_States_Armed_Forces" TargetMode="External" Id="rId73"/><Relationship Type="http://schemas.openxmlformats.org/officeDocument/2006/relationships/hyperlink" Target="https://en.wikipedia.org/wiki/Awards_and_decorations_of_the_United_States_Armed_Forces" TargetMode="External" Id="rId74"/></Relationships>
</file>

<file path=xl/worksheets/_rels/sheet4.xml.rels><Relationships xmlns="http://schemas.openxmlformats.org/package/2006/relationships"><Relationship Type="http://schemas.openxmlformats.org/officeDocument/2006/relationships/hyperlink" Target="https://en.wikipedia.org/wiki/Awards_and_decorations_of_the_United_States_Armed_Forces" TargetMode="External" Id="rId1"/><Relationship Type="http://schemas.openxmlformats.org/officeDocument/2006/relationships/hyperlink" Target="https://en.wikipedia.org/wiki/Awards_and_decorations_of_the_United_States_Armed_Forces" TargetMode="External" Id="rId2"/><Relationship Type="http://schemas.openxmlformats.org/officeDocument/2006/relationships/hyperlink" Target="https://en.wikipedia.org/wiki/Awards_and_decorations_of_the_United_States_Armed_Forces" TargetMode="External" Id="rId3"/><Relationship Type="http://schemas.openxmlformats.org/officeDocument/2006/relationships/hyperlink" Target="https://en.wikipedia.org/wiki/Awards_and_decorations_of_the_United_States_Armed_Forces" TargetMode="External" Id="rId4"/><Relationship Type="http://schemas.openxmlformats.org/officeDocument/2006/relationships/hyperlink" Target="https://en.wikipedia.org/wiki/Awards_and_decorations_of_the_United_States_Armed_Forces" TargetMode="External" Id="rId5"/><Relationship Type="http://schemas.openxmlformats.org/officeDocument/2006/relationships/hyperlink" Target="https://en.wikipedia.org/wiki/Awards_and_decorations_of_the_United_States_Armed_Forces" TargetMode="External" Id="rId6"/><Relationship Type="http://schemas.openxmlformats.org/officeDocument/2006/relationships/hyperlink" Target="https://en.wikipedia.org/wiki/Awards_and_decorations_of_the_United_States_Armed_Forces" TargetMode="External" Id="rId7"/><Relationship Type="http://schemas.openxmlformats.org/officeDocument/2006/relationships/hyperlink" Target="https://en.wikipedia.org/wiki/Awards_and_decorations_of_the_United_States_Armed_Forces" TargetMode="External" Id="rId8"/><Relationship Type="http://schemas.openxmlformats.org/officeDocument/2006/relationships/hyperlink" Target="https://en.wikipedia.org/wiki/Awards_and_decorations_of_the_United_States_Armed_Forces" TargetMode="External" Id="rId9"/><Relationship Type="http://schemas.openxmlformats.org/officeDocument/2006/relationships/hyperlink" Target="https://en.wikipedia.org/wiki/Awards_and_decorations_of_the_United_States_Armed_Forces" TargetMode="External" Id="rId10"/><Relationship Type="http://schemas.openxmlformats.org/officeDocument/2006/relationships/hyperlink" Target="https://en.wikipedia.org/wiki/Awards_and_decorations_of_the_United_States_Armed_Forces" TargetMode="External" Id="rId11"/><Relationship Type="http://schemas.openxmlformats.org/officeDocument/2006/relationships/hyperlink" Target="https://en.wikipedia.org/wiki/Awards_and_decorations_of_the_United_States_Armed_Forces" TargetMode="External" Id="rId12"/><Relationship Type="http://schemas.openxmlformats.org/officeDocument/2006/relationships/hyperlink" Target="https://en.wikipedia.org/wiki/Awards_and_decorations_of_the_United_States_Armed_Forces" TargetMode="External" Id="rId13"/><Relationship Type="http://schemas.openxmlformats.org/officeDocument/2006/relationships/hyperlink" Target="https://en.wikipedia.org/wiki/Awards_and_decorations_of_the_United_States_Armed_Forces" TargetMode="External" Id="rId14"/><Relationship Type="http://schemas.openxmlformats.org/officeDocument/2006/relationships/hyperlink" Target="https://en.wikipedia.org/wiki/Awards_and_decorations_of_the_United_States_Armed_Forces" TargetMode="External" Id="rId15"/><Relationship Type="http://schemas.openxmlformats.org/officeDocument/2006/relationships/hyperlink" Target="https://en.wikipedia.org/wiki/Awards_and_decorations_of_the_United_States_Armed_Forces" TargetMode="External" Id="rId16"/><Relationship Type="http://schemas.openxmlformats.org/officeDocument/2006/relationships/hyperlink" Target="https://en.wikipedia.org/wiki/Awards_and_decorations_of_the_United_States_Armed_Forces" TargetMode="External" Id="rId17"/><Relationship Type="http://schemas.openxmlformats.org/officeDocument/2006/relationships/hyperlink" Target="https://en.wikipedia.org/wiki/Awards_and_decorations_of_the_United_States_Armed_Forces" TargetMode="External" Id="rId18"/><Relationship Type="http://schemas.openxmlformats.org/officeDocument/2006/relationships/hyperlink" Target="https://en.wikipedia.org/wiki/Awards_and_decorations_of_the_United_States_Armed_Forces" TargetMode="External" Id="rId19"/><Relationship Type="http://schemas.openxmlformats.org/officeDocument/2006/relationships/hyperlink" Target="https://en.wikipedia.org/wiki/Awards_and_decorations_of_the_United_States_Armed_Forces" TargetMode="External" Id="rId20"/><Relationship Type="http://schemas.openxmlformats.org/officeDocument/2006/relationships/hyperlink" Target="https://en.wikipedia.org/wiki/Awards_and_decorations_of_the_United_States_Armed_Forces" TargetMode="External" Id="rId21"/><Relationship Type="http://schemas.openxmlformats.org/officeDocument/2006/relationships/hyperlink" Target="https://en.wikipedia.org/wiki/Awards_and_decorations_of_the_United_States_Armed_Forces" TargetMode="External" Id="rId22"/><Relationship Type="http://schemas.openxmlformats.org/officeDocument/2006/relationships/hyperlink" Target="https://en.wikipedia.org/wiki/Awards_and_decorations_of_the_United_States_Armed_Forces" TargetMode="External" Id="rId23"/><Relationship Type="http://schemas.openxmlformats.org/officeDocument/2006/relationships/hyperlink" Target="https://en.wikipedia.org/wiki/Awards_and_decorations_of_the_United_States_Armed_Forces" TargetMode="External" Id="rId24"/><Relationship Type="http://schemas.openxmlformats.org/officeDocument/2006/relationships/hyperlink" Target="https://en.wikipedia.org/wiki/Awards_and_decorations_of_the_United_States_Armed_Forces" TargetMode="External" Id="rId25"/><Relationship Type="http://schemas.openxmlformats.org/officeDocument/2006/relationships/hyperlink" Target="https://en.wikipedia.org/wiki/Awards_and_decorations_of_the_United_States_Armed_Forces" TargetMode="External" Id="rId26"/><Relationship Type="http://schemas.openxmlformats.org/officeDocument/2006/relationships/hyperlink" Target="https://en.wikipedia.org/wiki/Awards_and_decorations_of_the_United_States_Armed_Forces" TargetMode="External" Id="rId27"/><Relationship Type="http://schemas.openxmlformats.org/officeDocument/2006/relationships/hyperlink" Target="https://en.wikipedia.org/wiki/Awards_and_decorations_of_the_United_States_Armed_Forces" TargetMode="External" Id="rId28"/><Relationship Type="http://schemas.openxmlformats.org/officeDocument/2006/relationships/hyperlink" Target="https://en.wikipedia.org/wiki/Awards_and_decorations_of_the_United_States_Armed_Forces" TargetMode="External" Id="rId29"/><Relationship Type="http://schemas.openxmlformats.org/officeDocument/2006/relationships/hyperlink" Target="https://en.wikipedia.org/wiki/Awards_and_decorations_of_the_United_States_Armed_Forces" TargetMode="External" Id="rId30"/><Relationship Type="http://schemas.openxmlformats.org/officeDocument/2006/relationships/hyperlink" Target="https://en.wikipedia.org/wiki/Awards_and_decorations_of_the_United_States_Armed_Forces" TargetMode="External" Id="rId31"/><Relationship Type="http://schemas.openxmlformats.org/officeDocument/2006/relationships/hyperlink" Target="https://en.wikipedia.org/wiki/Awards_and_decorations_of_the_United_States_Armed_Forces" TargetMode="External" Id="rId32"/><Relationship Type="http://schemas.openxmlformats.org/officeDocument/2006/relationships/hyperlink" Target="https://en.wikipedia.org/wiki/Awards_and_decorations_of_the_United_States_Armed_Forces" TargetMode="External" Id="rId33"/><Relationship Type="http://schemas.openxmlformats.org/officeDocument/2006/relationships/hyperlink" Target="https://en.wikipedia.org/wiki/Awards_and_decorations_of_the_United_States_Armed_Forces" TargetMode="External" Id="rId34"/><Relationship Type="http://schemas.openxmlformats.org/officeDocument/2006/relationships/hyperlink" Target="https://en.wikipedia.org/wiki/Awards_and_decorations_of_the_United_States_Armed_Forces" TargetMode="External" Id="rId35"/><Relationship Type="http://schemas.openxmlformats.org/officeDocument/2006/relationships/hyperlink" Target="https://en.wikipedia.org/wiki/Awards_and_decorations_of_the_United_States_Armed_Forces" TargetMode="External" Id="rId36"/><Relationship Type="http://schemas.openxmlformats.org/officeDocument/2006/relationships/hyperlink" Target="https://en.wikipedia.org/wiki/Awards_and_decorations_of_the_United_States_Armed_Forces" TargetMode="External" Id="rId37"/><Relationship Type="http://schemas.openxmlformats.org/officeDocument/2006/relationships/hyperlink" Target="https://en.wikipedia.org/wiki/Awards_and_decorations_of_the_United_States_Armed_Forces" TargetMode="External" Id="rId38"/><Relationship Type="http://schemas.openxmlformats.org/officeDocument/2006/relationships/hyperlink" Target="https://en.wikipedia.org/wiki/Awards_and_decorations_of_the_United_States_Armed_Forces" TargetMode="External" Id="rId39"/><Relationship Type="http://schemas.openxmlformats.org/officeDocument/2006/relationships/hyperlink" Target="https://en.wikipedia.org/wiki/Awards_and_decorations_of_the_United_States_Armed_Forces" TargetMode="External" Id="rId40"/><Relationship Type="http://schemas.openxmlformats.org/officeDocument/2006/relationships/hyperlink" Target="https://en.wikipedia.org/wiki/Awards_and_decorations_of_the_United_States_Armed_Forces" TargetMode="External" Id="rId41"/><Relationship Type="http://schemas.openxmlformats.org/officeDocument/2006/relationships/hyperlink" Target="https://en.wikipedia.org/wiki/Awards_and_decorations_of_the_United_States_Armed_Forces" TargetMode="External" Id="rId42"/><Relationship Type="http://schemas.openxmlformats.org/officeDocument/2006/relationships/hyperlink" Target="https://en.wikipedia.org/wiki/Awards_and_decorations_of_the_United_States_Armed_Forces" TargetMode="External" Id="rId43"/><Relationship Type="http://schemas.openxmlformats.org/officeDocument/2006/relationships/hyperlink" Target="https://en.wikipedia.org/wiki/Awards_and_decorations_of_the_United_States_Armed_Forces" TargetMode="External" Id="rId44"/><Relationship Type="http://schemas.openxmlformats.org/officeDocument/2006/relationships/hyperlink" Target="https://en.wikipedia.org/wiki/Awards_and_decorations_of_the_United_States_Armed_Forces" TargetMode="External" Id="rId45"/><Relationship Type="http://schemas.openxmlformats.org/officeDocument/2006/relationships/hyperlink" Target="https://en.wikipedia.org/wiki/Awards_and_decorations_of_the_United_States_Armed_Forces" TargetMode="External" Id="rId46"/><Relationship Type="http://schemas.openxmlformats.org/officeDocument/2006/relationships/hyperlink" Target="https://en.wikipedia.org/wiki/Awards_and_decorations_of_the_United_States_Armed_Forces" TargetMode="External" Id="rId47"/><Relationship Type="http://schemas.openxmlformats.org/officeDocument/2006/relationships/hyperlink" Target="https://en.wikipedia.org/wiki/Awards_and_decorations_of_the_United_States_Armed_Forces" TargetMode="External" Id="rId48"/><Relationship Type="http://schemas.openxmlformats.org/officeDocument/2006/relationships/hyperlink" Target="https://en.wikipedia.org/wiki/Awards_and_decorations_of_the_United_States_Armed_Forces" TargetMode="External" Id="rId49"/><Relationship Type="http://schemas.openxmlformats.org/officeDocument/2006/relationships/hyperlink" Target="https://en.wikipedia.org/wiki/Awards_and_decorations_of_the_United_States_Armed_Forces" TargetMode="External" Id="rId50"/><Relationship Type="http://schemas.openxmlformats.org/officeDocument/2006/relationships/hyperlink" Target="https://en.wikipedia.org/wiki/Awards_and_decorations_of_the_United_States_Armed_Forces" TargetMode="External" Id="rId51"/><Relationship Type="http://schemas.openxmlformats.org/officeDocument/2006/relationships/hyperlink" Target="https://en.wikipedia.org/wiki/Awards_and_decorations_of_the_United_States_Armed_Forces" TargetMode="External" Id="rId52"/><Relationship Type="http://schemas.openxmlformats.org/officeDocument/2006/relationships/hyperlink" Target="https://en.wikipedia.org/wiki/Awards_and_decorations_of_the_United_States_Armed_Forces" TargetMode="External" Id="rId53"/><Relationship Type="http://schemas.openxmlformats.org/officeDocument/2006/relationships/hyperlink" Target="https://en.wikipedia.org/wiki/Awards_and_decorations_of_the_United_States_Armed_Forces" TargetMode="External" Id="rId54"/><Relationship Type="http://schemas.openxmlformats.org/officeDocument/2006/relationships/hyperlink" Target="https://en.wikipedia.org/wiki/Awards_and_decorations_of_the_United_States_Armed_Forces" TargetMode="External" Id="rId55"/><Relationship Type="http://schemas.openxmlformats.org/officeDocument/2006/relationships/hyperlink" Target="https://en.wikipedia.org/wiki/Awards_and_decorations_of_the_United_States_Armed_Forces" TargetMode="External" Id="rId56"/><Relationship Type="http://schemas.openxmlformats.org/officeDocument/2006/relationships/hyperlink" Target="https://en.wikipedia.org/wiki/Awards_and_decorations_of_the_United_States_Armed_Forces" TargetMode="External" Id="rId57"/><Relationship Type="http://schemas.openxmlformats.org/officeDocument/2006/relationships/hyperlink" Target="https://en.wikipedia.org/wiki/Awards_and_decorations_of_the_United_States_Armed_Forces" TargetMode="External" Id="rId58"/><Relationship Type="http://schemas.openxmlformats.org/officeDocument/2006/relationships/hyperlink" Target="https://en.wikipedia.org/wiki/Awards_and_decorations_of_the_United_States_Armed_Forces" TargetMode="External" Id="rId59"/><Relationship Type="http://schemas.openxmlformats.org/officeDocument/2006/relationships/hyperlink" Target="https://en.wikipedia.org/wiki/Awards_and_decorations_of_the_United_States_Armed_Forces" TargetMode="External" Id="rId60"/><Relationship Type="http://schemas.openxmlformats.org/officeDocument/2006/relationships/hyperlink" Target="https://en.wikipedia.org/wiki/Awards_and_decorations_of_the_United_States_Armed_Forces" TargetMode="External" Id="rId61"/><Relationship Type="http://schemas.openxmlformats.org/officeDocument/2006/relationships/hyperlink" Target="https://en.wikipedia.org/wiki/Awards_and_decorations_of_the_United_States_Armed_Forces" TargetMode="External" Id="rId62"/><Relationship Type="http://schemas.openxmlformats.org/officeDocument/2006/relationships/hyperlink" Target="https://en.wikipedia.org/wiki/Awards_and_decorations_of_the_United_States_Armed_Forces" TargetMode="External" Id="rId63"/><Relationship Type="http://schemas.openxmlformats.org/officeDocument/2006/relationships/hyperlink" Target="https://en.wikipedia.org/wiki/Awards_and_decorations_of_the_United_States_Armed_Forces" TargetMode="External" Id="rId64"/><Relationship Type="http://schemas.openxmlformats.org/officeDocument/2006/relationships/hyperlink" Target="https://en.wikipedia.org/wiki/Awards_and_decorations_of_the_United_States_Armed_Forces" TargetMode="External" Id="rId65"/><Relationship Type="http://schemas.openxmlformats.org/officeDocument/2006/relationships/hyperlink" Target="https://en.wikipedia.org/wiki/Awards_and_decorations_of_the_United_States_Armed_Forces" TargetMode="External" Id="rId66"/><Relationship Type="http://schemas.openxmlformats.org/officeDocument/2006/relationships/hyperlink" Target="https://en.wikipedia.org/wiki/Awards_and_decorations_of_the_United_States_Armed_Forces" TargetMode="External" Id="rId67"/><Relationship Type="http://schemas.openxmlformats.org/officeDocument/2006/relationships/hyperlink" Target="https://en.wikipedia.org/wiki/Awards_and_decorations_of_the_United_States_Armed_Forces" TargetMode="External" Id="rId68"/><Relationship Type="http://schemas.openxmlformats.org/officeDocument/2006/relationships/hyperlink" Target="https://en.wikipedia.org/wiki/Awards_and_decorations_of_the_United_States_Armed_Forces" TargetMode="External" Id="rId69"/><Relationship Type="http://schemas.openxmlformats.org/officeDocument/2006/relationships/hyperlink" Target="https://en.wikipedia.org/wiki/Awards_and_decorations_of_the_United_States_Armed_Forces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US Armed Forces ribbons workbook</t>
        </is>
      </c>
    </row>
    <row r="3">
      <c r="A3" t="inlineStr">
        <is>
          <t>This workbook was compiled from the Wikipedia page below.</t>
        </is>
      </c>
    </row>
    <row r="4">
      <c r="A4" s="2" t="inlineStr">
        <is>
          <t>https://en.wikipedia.org/wiki/Awards_and_decorations_of_the_United_States_Armed_Forces</t>
        </is>
      </c>
    </row>
    <row r="5">
      <c r="A5" t="inlineStr">
        <is>
          <t>Update: precedence numbers added. Ribbon visual column uses Excel image formulas. Raw image URL added for compatibility.</t>
        </is>
      </c>
    </row>
    <row r="6">
      <c r="A6" t="inlineStr">
        <is>
          <t>The Ribbon PNG column uses Excel IMAGE formulas that pull the ribbon image from Wikimedia Commons.</t>
        </is>
      </c>
    </row>
    <row r="7">
      <c r="A7" t="inlineStr">
        <is>
          <t>If a specific ribbon does not render in your version of Excel, send me the row name and I can patch that filename.</t>
        </is>
      </c>
    </row>
  </sheetData>
  <hyperlinks>
    <hyperlink xmlns:r="http://schemas.openxmlformats.org/officeDocument/2006/relationships" ref="A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38" customWidth="1" min="4" max="4"/>
    <col width="18" customWidth="1" min="5" max="5"/>
    <col width="78" customWidth="1" min="6" max="6"/>
    <col width="20" customWidth="1" min="7" max="7"/>
    <col width="52" customWidth="1" min="8" max="8"/>
    <col width="90" customWidth="1" min="9" max="9"/>
  </cols>
  <sheetData>
    <row r="1">
      <c r="A1" s="3" t="inlineStr">
        <is>
          <t>Major Section</t>
        </is>
      </c>
      <c r="B1" s="3" t="inlineStr">
        <is>
          <t>Category</t>
        </is>
      </c>
      <c r="C1" s="8" t="inlineStr">
        <is>
          <t>Precedence No.</t>
        </is>
      </c>
      <c r="D1" s="3" t="inlineStr">
        <is>
          <t>Ribbon Name</t>
        </is>
      </c>
      <c r="E1" s="3" t="inlineStr">
        <is>
          <t>Ribbon PNG</t>
        </is>
      </c>
      <c r="F1" s="8" t="inlineStr">
        <is>
          <t>Ribbon Image URL</t>
        </is>
      </c>
      <c r="G1" s="3" t="inlineStr">
        <is>
          <t>Qualifier / Branch</t>
        </is>
      </c>
      <c r="H1" s="3" t="inlineStr">
        <is>
          <t>Notes</t>
        </is>
      </c>
      <c r="I1" s="3" t="inlineStr">
        <is>
          <t>Source URL</t>
        </is>
      </c>
    </row>
    <row r="2" ht="44" customHeight="1">
      <c r="A2" s="4" t="inlineStr">
        <is>
          <t>Currently issued</t>
        </is>
      </c>
      <c r="B2" s="4" t="inlineStr">
        <is>
          <t>Personal decorations</t>
        </is>
      </c>
      <c r="C2" s="9" t="n">
        <v>1</v>
      </c>
      <c r="D2" s="10" t="inlineStr">
        <is>
          <t>Medal of Honor</t>
        </is>
      </c>
      <c r="E2" s="5">
        <f>IFERROR(IFERROR(IMAGE("https://commons.wikimedia.org/wiki/Special:FilePath/Medal_of_Honor_ribbon.svg?width=110"),IFERROR(IMAGE("https://commons.wikimedia.org/wiki/Special:FilePath/Medal_of_Honor_ribbon.png?width=110"),IFERROR(IMAGE("https://commons.wikimedia.org/wiki/Special:FilePath/Medal_of_Honor.svg?width=110"),IFERROR(IMAGE("https://commons.wikimedia.org/wiki/Special:FilePath/Medal_of_Honor.png?width=110"),IFERROR(IMAGE("https://commons.wikimedia.org/wiki/Special:FilePath/Medal_of_Honor_Medal_ribbon.svg?width=110"),IMAGE("https://commons.wikimedia.org/wiki/Special:FilePath/Medal_of_Honor_Medal_ribbon.png?width=110")))))),"")</f>
        <v/>
      </c>
      <c r="F2" s="11" t="inlineStr">
        <is>
          <t>https://commons.wikimedia.org/wiki/Special:FilePath/Medal_of_Honor_ribbon.svg?width=110</t>
        </is>
      </c>
      <c r="G2" s="4" t="inlineStr"/>
      <c r="H2" s="4" t="inlineStr">
        <is>
          <t>Awarded for "Conspicuous gallantry and intrepidity at the risk of life above and beyond the call of duty"</t>
        </is>
      </c>
      <c r="I2" s="2" t="inlineStr">
        <is>
          <t>https://en.wikipedia.org/wiki/Awards_and_decorations_of_the_United_States_Armed_Forces</t>
        </is>
      </c>
    </row>
    <row r="3" ht="44" customHeight="1">
      <c r="A3" s="6" t="inlineStr">
        <is>
          <t>Currently issued</t>
        </is>
      </c>
      <c r="B3" s="6" t="inlineStr">
        <is>
          <t>Personal decorations</t>
        </is>
      </c>
      <c r="C3" s="9" t="n">
        <v>2</v>
      </c>
      <c r="D3" s="12" t="inlineStr">
        <is>
          <t>Distinguished Service Cross</t>
        </is>
      </c>
      <c r="E3" s="7">
        <f>IFERROR(IFERROR(IMAGE("https://commons.wikimedia.org/wiki/Special:FilePath/Army_Distinguished_Service_Cross_ribbon.svg?width=110"),IFERROR(IMAGE("https://commons.wikimedia.org/wiki/Special:FilePath/Army_Distinguished_Service_Cross_ribbon.png?width=110"),IFERROR(IMAGE("https://commons.wikimedia.org/wiki/Special:FilePath/Distinguished_Service_Cross_Army_ribbon.svg?width=110"),IFERROR(IMAGE("https://commons.wikimedia.org/wiki/Special:FilePath/Distinguished_Service_Cross_Army_ribbon.png?width=110"),IFERROR(IMAGE("https://commons.wikimedia.org/wiki/Special:FilePath/Distinguished_Service_Cross_Army.svg?width=110"),IFERROR(IMAGE("https://commons.wikimedia.org/wiki/Special:FilePath/Distinguished_Service_Cross_Army.png?width=110"),IFERROR(IMAGE("https://commons.wikimedia.org/wiki/Special:FilePath/Distinguished_Service_Cross_ribbon.svg?width=110"),IMAGE("https://commons.wikimedia.org/wiki/Special:FilePath/Distinguished_Service_Cross_ribbon.png?width=110")))))))),"")</f>
        <v/>
      </c>
      <c r="F3" s="11" t="inlineStr">
        <is>
          <t>https://commons.wikimedia.org/wiki/Special:FilePath/Army_Distinguished_Service_Cross_ribbon.svg?width=110</t>
        </is>
      </c>
      <c r="G3" s="6" t="inlineStr">
        <is>
          <t>Army</t>
        </is>
      </c>
      <c r="H3" s="6" t="inlineStr">
        <is>
          <t>Service cross medals. Awarded for "extraordinary heroism in combat"</t>
        </is>
      </c>
      <c r="I3" s="2" t="inlineStr">
        <is>
          <t>https://en.wikipedia.org/wiki/Awards_and_decorations_of_the_United_States_Armed_Forces</t>
        </is>
      </c>
    </row>
    <row r="4" ht="44" customHeight="1">
      <c r="A4" s="4" t="inlineStr">
        <is>
          <t>Currently issued</t>
        </is>
      </c>
      <c r="B4" s="4" t="inlineStr">
        <is>
          <t>Personal decorations</t>
        </is>
      </c>
      <c r="C4" s="9" t="n">
        <v>3</v>
      </c>
      <c r="D4" s="10" t="inlineStr">
        <is>
          <t>Navy Cross</t>
        </is>
      </c>
      <c r="E4" s="5">
        <f>IFERROR(IFERROR(IMAGE("https://commons.wikimedia.org/wiki/Special:FilePath/Navy_Cross_ribbon.svg?width=110"),IFERROR(IMAGE("https://commons.wikimedia.org/wiki/Special:FilePath/Navy_Cross_ribbon.png?width=110"),IFERROR(IMAGE("https://commons.wikimedia.org/wiki/Special:FilePath/Navy_Cross.svg?width=110"),IMAGE("https://commons.wikimedia.org/wiki/Special:FilePath/Navy_Cross.png?width=110")))),"")</f>
        <v/>
      </c>
      <c r="F4" s="11" t="inlineStr">
        <is>
          <t>https://commons.wikimedia.org/wiki/Special:FilePath/Navy_Cross_ribbon.svg?width=110</t>
        </is>
      </c>
      <c r="G4" s="4" t="inlineStr"/>
      <c r="H4" s="4" t="inlineStr">
        <is>
          <t>Service cross medals. Awarded for "extraordinary heroism in combat"</t>
        </is>
      </c>
      <c r="I4" s="2" t="inlineStr">
        <is>
          <t>https://en.wikipedia.org/wiki/Awards_and_decorations_of_the_United_States_Armed_Forces</t>
        </is>
      </c>
    </row>
    <row r="5" ht="44" customHeight="1">
      <c r="A5" s="6" t="inlineStr">
        <is>
          <t>Currently issued</t>
        </is>
      </c>
      <c r="B5" s="6" t="inlineStr">
        <is>
          <t>Personal decorations</t>
        </is>
      </c>
      <c r="C5" s="9" t="n">
        <v>4</v>
      </c>
      <c r="D5" s="12" t="inlineStr">
        <is>
          <t>Air Force Cross</t>
        </is>
      </c>
      <c r="E5" s="7">
        <f>IFERROR(IFERROR(IMAGE("https://commons.wikimedia.org/wiki/Special:FilePath/Air_Force_Cross_ribbon.svg?width=110"),IFERROR(IMAGE("https://commons.wikimedia.org/wiki/Special:FilePath/Air_Force_Cross_ribbon.png?width=110"),IFERROR(IMAGE("https://commons.wikimedia.org/wiki/Special:FilePath/Air_Force_Cross.svg?width=110"),IMAGE("https://commons.wikimedia.org/wiki/Special:FilePath/Air_Force_Cross.png?width=110")))),"")</f>
        <v/>
      </c>
      <c r="F5" s="11" t="inlineStr">
        <is>
          <t>https://commons.wikimedia.org/wiki/Special:FilePath/Air_Force_Cross_ribbon.svg?width=110</t>
        </is>
      </c>
      <c r="G5" s="6" t="inlineStr"/>
      <c r="H5" s="6" t="inlineStr">
        <is>
          <t>Service cross medals. Awarded for "extraordinary heroism in combat"</t>
        </is>
      </c>
      <c r="I5" s="2" t="inlineStr">
        <is>
          <t>https://en.wikipedia.org/wiki/Awards_and_decorations_of_the_United_States_Armed_Forces</t>
        </is>
      </c>
    </row>
    <row r="6" ht="44" customHeight="1">
      <c r="A6" s="4" t="inlineStr">
        <is>
          <t>Currently issued</t>
        </is>
      </c>
      <c r="B6" s="4" t="inlineStr">
        <is>
          <t>Personal decorations</t>
        </is>
      </c>
      <c r="C6" s="9" t="n">
        <v>5</v>
      </c>
      <c r="D6" s="10" t="inlineStr">
        <is>
          <t>Coast Guard Cross</t>
        </is>
      </c>
      <c r="E6" s="5">
        <f>IFERROR(IFERROR(IMAGE("https://commons.wikimedia.org/wiki/Special:FilePath/Coast_Guard_Cross_ribbon.svg?width=110"),IFERROR(IMAGE("https://commons.wikimedia.org/wiki/Special:FilePath/Coast_Guard_Cross_ribbon.png?width=110"),IFERROR(IMAGE("https://commons.wikimedia.org/wiki/Special:FilePath/Coast_Guard_Cross.svg?width=110"),IMAGE("https://commons.wikimedia.org/wiki/Special:FilePath/Coast_Guard_Cross.png?width=110")))),"")</f>
        <v/>
      </c>
      <c r="F6" s="11" t="inlineStr">
        <is>
          <t>https://commons.wikimedia.org/wiki/Special:FilePath/Coast_Guard_Cross_ribbon.svg?width=110</t>
        </is>
      </c>
      <c r="G6" s="4" t="inlineStr"/>
      <c r="H6" s="4" t="inlineStr">
        <is>
          <t>Service cross medals. Awarded for "extraordinary heroism in combat"</t>
        </is>
      </c>
      <c r="I6" s="2" t="inlineStr">
        <is>
          <t>https://en.wikipedia.org/wiki/Awards_and_decorations_of_the_United_States_Armed_Forces</t>
        </is>
      </c>
    </row>
    <row r="7" ht="44" customHeight="1">
      <c r="A7" s="6" t="inlineStr">
        <is>
          <t>Currently issued</t>
        </is>
      </c>
      <c r="B7" s="6" t="inlineStr">
        <is>
          <t>Personal decorations</t>
        </is>
      </c>
      <c r="C7" s="9" t="n">
        <v>6</v>
      </c>
      <c r="D7" s="12" t="inlineStr">
        <is>
          <t>Defense Distinguished Service Medal</t>
        </is>
      </c>
      <c r="E7" s="7">
        <f>IFERROR(IFERROR(IMAGE("https://commons.wikimedia.org/wiki/Special:FilePath/Defense_Distinguished_Service_Medal_ribbon.svg?width=110"),IFERROR(IMAGE("https://commons.wikimedia.org/wiki/Special:FilePath/Defense_Distinguished_Service_Medal_ribbon.png?width=110"),IFERROR(IMAGE("https://commons.wikimedia.org/wiki/Special:FilePath/Defense_Distinguished_Service_Medal.svg?width=110"),IMAGE("https://commons.wikimedia.org/wiki/Special:FilePath/Defense_Distinguished_Service_Medal.png?width=110")))),"")</f>
        <v/>
      </c>
      <c r="F7" s="11" t="inlineStr">
        <is>
          <t>https://commons.wikimedia.org/wiki/Special:FilePath/Defense_Distinguished_Service_Medal_ribbon.svg?width=110</t>
        </is>
      </c>
      <c r="G7" s="6" t="inlineStr"/>
      <c r="H7" s="6" t="inlineStr">
        <is>
          <t>Distinguished service medals. Awarded for "exceptionally meritorious service in a duty of great responsibility"</t>
        </is>
      </c>
      <c r="I7" s="2" t="inlineStr">
        <is>
          <t>https://en.wikipedia.org/wiki/Awards_and_decorations_of_the_United_States_Armed_Forces</t>
        </is>
      </c>
    </row>
    <row r="8" ht="44" customHeight="1">
      <c r="A8" s="4" t="inlineStr">
        <is>
          <t>Currently issued</t>
        </is>
      </c>
      <c r="B8" s="4" t="inlineStr">
        <is>
          <t>Personal decorations</t>
        </is>
      </c>
      <c r="C8" s="9" t="n">
        <v>7</v>
      </c>
      <c r="D8" s="10" t="inlineStr">
        <is>
          <t>Homeland Security Distinguished Service Medal</t>
        </is>
      </c>
      <c r="E8" s="5">
        <f>IFERROR(IFERROR(IMAGE("https://commons.wikimedia.org/wiki/Special:FilePath/Homeland_Security_Distinguished_Service_Medal_ribbon.svg?width=110"),IFERROR(IMAGE("https://commons.wikimedia.org/wiki/Special:FilePath/Homeland_Security_Distinguished_Service_Medal_ribbon.png?width=110"),IFERROR(IMAGE("https://commons.wikimedia.org/wiki/Special:FilePath/Homeland_Security_Distinguished_Service_Medal.svg?width=110"),IMAGE("https://commons.wikimedia.org/wiki/Special:FilePath/Homeland_Security_Distinguished_Service_Medal.png?width=110")))),"")</f>
        <v/>
      </c>
      <c r="F8" s="11" t="inlineStr">
        <is>
          <t>https://commons.wikimedia.org/wiki/Special:FilePath/Homeland_Security_Distinguished_Service_Medal_ribbon.svg?width=110</t>
        </is>
      </c>
      <c r="G8" s="4" t="inlineStr"/>
      <c r="H8" s="4" t="inlineStr">
        <is>
          <t>Distinguished service medals. Awarded for "exceptionally meritorious service in a duty of great responsibility"</t>
        </is>
      </c>
      <c r="I8" s="2" t="inlineStr">
        <is>
          <t>https://en.wikipedia.org/wiki/Awards_and_decorations_of_the_United_States_Armed_Forces</t>
        </is>
      </c>
    </row>
    <row r="9" ht="44" customHeight="1">
      <c r="A9" s="6" t="inlineStr">
        <is>
          <t>Currently issued</t>
        </is>
      </c>
      <c r="B9" s="6" t="inlineStr">
        <is>
          <t>Personal decorations</t>
        </is>
      </c>
      <c r="C9" s="9" t="n">
        <v>8</v>
      </c>
      <c r="D9" s="12" t="inlineStr">
        <is>
          <t>Distinguished Service Medal</t>
        </is>
      </c>
      <c r="E9" s="7">
        <f>IFERROR(IFERROR(IMAGE("https://commons.wikimedia.org/wiki/Special:FilePath/Army_Distinguished_Service_Medal_ribbon.svg?width=110"),IFERROR(IMAGE("https://commons.wikimedia.org/wiki/Special:FilePath/Army_Distinguished_Service_Medal_ribbon.png?width=110"),IFERROR(IMAGE("https://commons.wikimedia.org/wiki/Special:FilePath/Distinguished_Service_Medal_Army_ribbon.svg?width=110"),IFERROR(IMAGE("https://commons.wikimedia.org/wiki/Special:FilePath/Distinguished_Service_Medal_Army_ribbon.png?width=110"),IFERROR(IMAGE("https://commons.wikimedia.org/wiki/Special:FilePath/Distinguished_Service_Medal_Army.svg?width=110"),IFERROR(IMAGE("https://commons.wikimedia.org/wiki/Special:FilePath/Distinguished_Service_Medal_Army.png?width=110"),IFERROR(IMAGE("https://commons.wikimedia.org/wiki/Special:FilePath/Distinguished_Service_Medal_ribbon.svg?width=110"),IMAGE("https://commons.wikimedia.org/wiki/Special:FilePath/Distinguished_Service_Medal_ribbon.png?width=110")))))))),"")</f>
        <v/>
      </c>
      <c r="F9" s="11" t="inlineStr">
        <is>
          <t>https://commons.wikimedia.org/wiki/Special:FilePath/Army_Distinguished_Service_Medal_ribbon.svg?width=110</t>
        </is>
      </c>
      <c r="G9" s="6" t="inlineStr">
        <is>
          <t>Army</t>
        </is>
      </c>
      <c r="H9" s="6" t="inlineStr">
        <is>
          <t>Distinguished service medals. Awarded for "exceptionally meritorious service in a duty of great responsibility"</t>
        </is>
      </c>
      <c r="I9" s="2" t="inlineStr">
        <is>
          <t>https://en.wikipedia.org/wiki/Awards_and_decorations_of_the_United_States_Armed_Forces</t>
        </is>
      </c>
    </row>
    <row r="10" ht="44" customHeight="1">
      <c r="A10" s="4" t="inlineStr">
        <is>
          <t>Currently issued</t>
        </is>
      </c>
      <c r="B10" s="4" t="inlineStr">
        <is>
          <t>Personal decorations</t>
        </is>
      </c>
      <c r="C10" s="9" t="n">
        <v>9</v>
      </c>
      <c r="D10" s="10" t="inlineStr">
        <is>
          <t>Navy Distinguished Service Medal</t>
        </is>
      </c>
      <c r="E10" s="5">
        <f>IFERROR(IFERROR(IMAGE("https://commons.wikimedia.org/wiki/Special:FilePath/Navy_Distinguished_Service_Medal_ribbon.svg?width=110"),IFERROR(IMAGE("https://commons.wikimedia.org/wiki/Special:FilePath/Navy_Distinguished_Service_Medal_ribbon.png?width=110"),IFERROR(IMAGE("https://commons.wikimedia.org/wiki/Special:FilePath/Navy_Distinguished_Service_Medal.svg?width=110"),IMAGE("https://commons.wikimedia.org/wiki/Special:FilePath/Navy_Distinguished_Service_Medal.png?width=110")))),"")</f>
        <v/>
      </c>
      <c r="F10" s="11" t="inlineStr">
        <is>
          <t>https://commons.wikimedia.org/wiki/Special:FilePath/Navy_Distinguished_Service_Medal_ribbon.svg?width=110</t>
        </is>
      </c>
      <c r="G10" s="4" t="inlineStr"/>
      <c r="H10" s="4" t="inlineStr">
        <is>
          <t>Distinguished service medals. Awarded for "exceptionally meritorious service in a duty of great responsibility"</t>
        </is>
      </c>
      <c r="I10" s="2" t="inlineStr">
        <is>
          <t>https://en.wikipedia.org/wiki/Awards_and_decorations_of_the_United_States_Armed_Forces</t>
        </is>
      </c>
    </row>
    <row r="11" ht="44" customHeight="1">
      <c r="A11" s="6" t="inlineStr">
        <is>
          <t>Currently issued</t>
        </is>
      </c>
      <c r="B11" s="6" t="inlineStr">
        <is>
          <t>Personal decorations</t>
        </is>
      </c>
      <c r="C11" s="9" t="n">
        <v>10</v>
      </c>
      <c r="D11" s="12" t="inlineStr">
        <is>
          <t>Distinguished Service Medal</t>
        </is>
      </c>
      <c r="E11" s="7">
        <f>IFERROR(IFERROR(IMAGE("https://commons.wikimedia.org/wiki/Special:FilePath/Air_and_Space_Forces_Distinguished_Service_Medal_ribbon.svg?width=110"),IFERROR(IMAGE("https://commons.wikimedia.org/wiki/Special:FilePath/Air_and_Space_Forces_Distinguished_Service_Medal_ribbon.png?width=110"),IFERROR(IMAGE("https://commons.wikimedia.org/wiki/Special:FilePath/Distinguished_Service_Medal_Air_and_Space_Forces_ribbon.svg?width=110"),IFERROR(IMAGE("https://commons.wikimedia.org/wiki/Special:FilePath/Distinguished_Service_Medal_Air_and_Space_Forces_ribbon.png?width=110"),IFERROR(IMAGE("https://commons.wikimedia.org/wiki/Special:FilePath/Distinguished_Service_Medal_Air_and_Space_Forces.svg?width=110"),IFERROR(IMAGE("https://commons.wikimedia.org/wiki/Special:FilePath/Distinguished_Service_Medal_Air_and_Space_Forces.png?width=110"),IFERROR(IMAGE("https://commons.wikimedia.org/wiki/Special:FilePath/Distinguished_Service_Medal_ribbon.svg?width=110"),IMAGE("https://commons.wikimedia.org/wiki/Special:FilePath/Distinguished_Service_Medal_ribbon.png?width=110")))))))),"")</f>
        <v/>
      </c>
      <c r="F11" s="11" t="inlineStr">
        <is>
          <t>https://commons.wikimedia.org/wiki/Special:FilePath/Air_and_Space_Forces_Distinguished_Service_Medal_ribbon.svg?width=110</t>
        </is>
      </c>
      <c r="G11" s="6" t="inlineStr">
        <is>
          <t>Air and Space Forces</t>
        </is>
      </c>
      <c r="H11" s="6" t="inlineStr">
        <is>
          <t>Distinguished service medals. Awarded for "exceptionally meritorious service in a duty of great responsibility"</t>
        </is>
      </c>
      <c r="I11" s="2" t="inlineStr">
        <is>
          <t>https://en.wikipedia.org/wiki/Awards_and_decorations_of_the_United_States_Armed_Forces</t>
        </is>
      </c>
    </row>
    <row r="12" ht="44" customHeight="1">
      <c r="A12" s="4" t="inlineStr">
        <is>
          <t>Currently issued</t>
        </is>
      </c>
      <c r="B12" s="4" t="inlineStr">
        <is>
          <t>Personal decorations</t>
        </is>
      </c>
      <c r="C12" s="9" t="n">
        <v>11</v>
      </c>
      <c r="D12" s="10" t="inlineStr">
        <is>
          <t>Coast Guard Distinguished Service Medal</t>
        </is>
      </c>
      <c r="E12" s="5">
        <f>IFERROR(IFERROR(IMAGE("https://commons.wikimedia.org/wiki/Special:FilePath/Coast_Guard_Distinguished_Service_Medal_ribbon.svg?width=110"),IFERROR(IMAGE("https://commons.wikimedia.org/wiki/Special:FilePath/Coast_Guard_Distinguished_Service_Medal_ribbon.png?width=110"),IFERROR(IMAGE("https://commons.wikimedia.org/wiki/Special:FilePath/Coast_Guard_Distinguished_Service_Medal.svg?width=110"),IMAGE("https://commons.wikimedia.org/wiki/Special:FilePath/Coast_Guard_Distinguished_Service_Medal.png?width=110")))),"")</f>
        <v/>
      </c>
      <c r="F12" s="11" t="inlineStr">
        <is>
          <t>https://commons.wikimedia.org/wiki/Special:FilePath/Coast_Guard_Distinguished_Service_Medal_ribbon.svg?width=110</t>
        </is>
      </c>
      <c r="G12" s="4" t="inlineStr"/>
      <c r="H12" s="4" t="inlineStr">
        <is>
          <t>Distinguished service medals. Awarded for "exceptionally meritorious service in a duty of great responsibility"</t>
        </is>
      </c>
      <c r="I12" s="2" t="inlineStr">
        <is>
          <t>https://en.wikipedia.org/wiki/Awards_and_decorations_of_the_United_States_Armed_Forces</t>
        </is>
      </c>
    </row>
    <row r="13" ht="44" customHeight="1">
      <c r="A13" s="6" t="inlineStr">
        <is>
          <t>Currently issued</t>
        </is>
      </c>
      <c r="B13" s="6" t="inlineStr">
        <is>
          <t>Personal decorations</t>
        </is>
      </c>
      <c r="C13" s="9" t="n">
        <v>12</v>
      </c>
      <c r="D13" s="12" t="inlineStr">
        <is>
          <t>Silver Star Medal</t>
        </is>
      </c>
      <c r="E13" s="7">
        <f>IFERROR(IFERROR(IMAGE("https://commons.wikimedia.org/wiki/Special:FilePath/Silver_Star_Medal_ribbon.svg?width=110"),IFERROR(IMAGE("https://commons.wikimedia.org/wiki/Special:FilePath/Silver_Star_Medal_ribbon.png?width=110"),IFERROR(IMAGE("https://commons.wikimedia.org/wiki/Special:FilePath/Silver_Star_Medal.svg?width=110"),IMAGE("https://commons.wikimedia.org/wiki/Special:FilePath/Silver_Star_Medal.png?width=110")))),"")</f>
        <v/>
      </c>
      <c r="F13" s="11" t="inlineStr">
        <is>
          <t>https://commons.wikimedia.org/wiki/Special:FilePath/Silver_Star_Medal_ribbon.svg?width=110</t>
        </is>
      </c>
      <c r="G13" s="6" t="inlineStr"/>
      <c r="H13" s="6" t="inlineStr">
        <is>
          <t>Awarded for "gallantry in action"</t>
        </is>
      </c>
      <c r="I13" s="2" t="inlineStr">
        <is>
          <t>https://en.wikipedia.org/wiki/Awards_and_decorations_of_the_United_States_Armed_Forces</t>
        </is>
      </c>
    </row>
    <row r="14" ht="44" customHeight="1">
      <c r="A14" s="4" t="inlineStr">
        <is>
          <t>Currently issued</t>
        </is>
      </c>
      <c r="B14" s="4" t="inlineStr">
        <is>
          <t>Personal decorations</t>
        </is>
      </c>
      <c r="C14" s="9" t="n">
        <v>13</v>
      </c>
      <c r="D14" s="10" t="inlineStr">
        <is>
          <t>Defense Superior Service Medal</t>
        </is>
      </c>
      <c r="E14" s="5">
        <f>IFERROR(IFERROR(IMAGE("https://commons.wikimedia.org/wiki/Special:FilePath/Defense_Superior_Service_Medal_ribbon.svg?width=110"),IFERROR(IMAGE("https://commons.wikimedia.org/wiki/Special:FilePath/Defense_Superior_Service_Medal_ribbon.png?width=110"),IFERROR(IMAGE("https://commons.wikimedia.org/wiki/Special:FilePath/Defense_Superior_Service_Medal.svg?width=110"),IMAGE("https://commons.wikimedia.org/wiki/Special:FilePath/Defense_Superior_Service_Medal.png?width=110")))),"")</f>
        <v/>
      </c>
      <c r="F14" s="11" t="inlineStr">
        <is>
          <t>https://commons.wikimedia.org/wiki/Special:FilePath/Defense_Superior_Service_Medal_ribbon.svg?width=110</t>
        </is>
      </c>
      <c r="G14" s="4" t="inlineStr"/>
      <c r="H14" s="4" t="inlineStr">
        <is>
          <t>Awarded for "superior or exceptionally meritorious service"</t>
        </is>
      </c>
      <c r="I14" s="2" t="inlineStr">
        <is>
          <t>https://en.wikipedia.org/wiki/Awards_and_decorations_of_the_United_States_Armed_Forces</t>
        </is>
      </c>
    </row>
    <row r="15" ht="44" customHeight="1">
      <c r="A15" s="6" t="inlineStr">
        <is>
          <t>Currently issued</t>
        </is>
      </c>
      <c r="B15" s="6" t="inlineStr">
        <is>
          <t>Personal decorations</t>
        </is>
      </c>
      <c r="C15" s="9" t="n">
        <v>14</v>
      </c>
      <c r="D15" s="12" t="inlineStr">
        <is>
          <t>Legion of Merit</t>
        </is>
      </c>
      <c r="E15" s="7">
        <f>IFERROR(IFERROR(IMAGE("https://commons.wikimedia.org/wiki/Special:FilePath/Legion_of_Merit_ribbon.svg?width=110"),IFERROR(IMAGE("https://commons.wikimedia.org/wiki/Special:FilePath/Legion_of_Merit_ribbon.png?width=110"),IFERROR(IMAGE("https://commons.wikimedia.org/wiki/Special:FilePath/Legion_of_Merit.svg?width=110"),IMAGE("https://commons.wikimedia.org/wiki/Special:FilePath/Legion_of_Merit.png?width=110")))),"")</f>
        <v/>
      </c>
      <c r="F15" s="11" t="inlineStr">
        <is>
          <t>https://commons.wikimedia.org/wiki/Special:FilePath/Legion_of_Merit_ribbon.svg?width=110</t>
        </is>
      </c>
      <c r="G15" s="6" t="inlineStr"/>
      <c r="H15" s="6" t="inlineStr">
        <is>
          <t>Awarded for "superior or exceptionally meritorious service"</t>
        </is>
      </c>
      <c r="I15" s="2" t="inlineStr">
        <is>
          <t>https://en.wikipedia.org/wiki/Awards_and_decorations_of_the_United_States_Armed_Forces</t>
        </is>
      </c>
    </row>
    <row r="16" ht="44" customHeight="1">
      <c r="A16" s="4" t="inlineStr">
        <is>
          <t>Currently issued</t>
        </is>
      </c>
      <c r="B16" s="4" t="inlineStr">
        <is>
          <t>Personal decorations</t>
        </is>
      </c>
      <c r="C16" s="9" t="n">
        <v>15</v>
      </c>
      <c r="D16" s="10" t="inlineStr">
        <is>
          <t>Distinguished Flying Cross</t>
        </is>
      </c>
      <c r="E16" s="5">
        <f>IFERROR(IFERROR(IMAGE("https://commons.wikimedia.org/wiki/Special:FilePath/Distinguished_Flying_Cross_ribbon.svg?width=110"),IFERROR(IMAGE("https://commons.wikimedia.org/wiki/Special:FilePath/Distinguished_Flying_Cross_ribbon.png?width=110"),IFERROR(IMAGE("https://commons.wikimedia.org/wiki/Special:FilePath/Distinguished_Flying_Cross.svg?width=110"),IMAGE("https://commons.wikimedia.org/wiki/Special:FilePath/Distinguished_Flying_Cross.png?width=110")))),"")</f>
        <v/>
      </c>
      <c r="F16" s="11" t="inlineStr">
        <is>
          <t>https://commons.wikimedia.org/wiki/Special:FilePath/Distinguished_Flying_Cross_ribbon.svg?width=110</t>
        </is>
      </c>
      <c r="G16" s="4" t="inlineStr"/>
      <c r="H16" s="4" t="inlineStr">
        <is>
          <t>Awarded for "heroism or extraordinary achievement in aerial flight"</t>
        </is>
      </c>
      <c r="I16" s="2" t="inlineStr">
        <is>
          <t>https://en.wikipedia.org/wiki/Awards_and_decorations_of_the_United_States_Armed_Forces</t>
        </is>
      </c>
    </row>
    <row r="17" ht="44" customHeight="1">
      <c r="A17" s="6" t="inlineStr">
        <is>
          <t>Currently issued</t>
        </is>
      </c>
      <c r="B17" s="6" t="inlineStr">
        <is>
          <t>Personal decorations</t>
        </is>
      </c>
      <c r="C17" s="9" t="n">
        <v>16</v>
      </c>
      <c r="D17" s="12" t="inlineStr">
        <is>
          <t>Soldier's Medal</t>
        </is>
      </c>
      <c r="E17" s="7">
        <f>IFERROR(IFERROR(IMAGE("https://commons.wikimedia.org/wiki/Special:FilePath/Soldiers_Medal_ribbon.svg?width=110"),IFERROR(IMAGE("https://commons.wikimedia.org/wiki/Special:FilePath/Soldiers_Medal_ribbon.png?width=110"),IFERROR(IMAGE("https://commons.wikimedia.org/wiki/Special:FilePath/Soldiers_Medal.svg?width=110"),IMAGE("https://commons.wikimedia.org/wiki/Special:FilePath/Soldiers_Medal.png?width=110")))),"")</f>
        <v/>
      </c>
      <c r="F17" s="11" t="inlineStr">
        <is>
          <t>https://commons.wikimedia.org/wiki/Special:FilePath/Soldiers_Medal_ribbon.svg?width=110</t>
        </is>
      </c>
      <c r="G17" s="6" t="inlineStr"/>
      <c r="H17" s="6" t="inlineStr">
        <is>
          <t>Medals for non-combat heroism</t>
        </is>
      </c>
      <c r="I17" s="2" t="inlineStr">
        <is>
          <t>https://en.wikipedia.org/wiki/Awards_and_decorations_of_the_United_States_Armed_Forces</t>
        </is>
      </c>
    </row>
    <row r="18" ht="44" customHeight="1">
      <c r="A18" s="4" t="inlineStr">
        <is>
          <t>Currently issued</t>
        </is>
      </c>
      <c r="B18" s="4" t="inlineStr">
        <is>
          <t>Personal decorations</t>
        </is>
      </c>
      <c r="C18" s="9" t="n">
        <v>17</v>
      </c>
      <c r="D18" s="10" t="inlineStr">
        <is>
          <t>Navy and Marine Corps Medal</t>
        </is>
      </c>
      <c r="E18" s="5">
        <f>IFERROR(IFERROR(IMAGE("https://commons.wikimedia.org/wiki/Special:FilePath/Navy_and_Marine_Corps_Medal_ribbon.svg?width=110"),IFERROR(IMAGE("https://commons.wikimedia.org/wiki/Special:FilePath/Navy_and_Marine_Corps_Medal_ribbon.png?width=110"),IFERROR(IMAGE("https://commons.wikimedia.org/wiki/Special:FilePath/Navy_and_Marine_Corps_Medal.svg?width=110"),IMAGE("https://commons.wikimedia.org/wiki/Special:FilePath/Navy_and_Marine_Corps_Medal.png?width=110")))),"")</f>
        <v/>
      </c>
      <c r="F18" s="11" t="inlineStr">
        <is>
          <t>https://commons.wikimedia.org/wiki/Special:FilePath/Navy_and_Marine_Corps_Medal_ribbon.svg?width=110</t>
        </is>
      </c>
      <c r="G18" s="4" t="inlineStr"/>
      <c r="H18" s="4" t="inlineStr">
        <is>
          <t>Medals for non-combat heroism</t>
        </is>
      </c>
      <c r="I18" s="2" t="inlineStr">
        <is>
          <t>https://en.wikipedia.org/wiki/Awards_and_decorations_of_the_United_States_Armed_Forces</t>
        </is>
      </c>
    </row>
    <row r="19" ht="44" customHeight="1">
      <c r="A19" s="6" t="inlineStr">
        <is>
          <t>Currently issued</t>
        </is>
      </c>
      <c r="B19" s="6" t="inlineStr">
        <is>
          <t>Personal decorations</t>
        </is>
      </c>
      <c r="C19" s="9" t="n">
        <v>18</v>
      </c>
      <c r="D19" s="12" t="inlineStr">
        <is>
          <t>Airman's Medal</t>
        </is>
      </c>
      <c r="E19" s="7">
        <f>IFERROR(IFERROR(IMAGE("https://commons.wikimedia.org/wiki/Special:FilePath/Airmans_Medal_ribbon.svg?width=110"),IFERROR(IMAGE("https://commons.wikimedia.org/wiki/Special:FilePath/Airmans_Medal_ribbon.png?width=110"),IFERROR(IMAGE("https://commons.wikimedia.org/wiki/Special:FilePath/Airmans_Medal.svg?width=110"),IMAGE("https://commons.wikimedia.org/wiki/Special:FilePath/Airmans_Medal.png?width=110")))),"")</f>
        <v/>
      </c>
      <c r="F19" s="11" t="inlineStr">
        <is>
          <t>https://commons.wikimedia.org/wiki/Special:FilePath/Airmans_Medal_ribbon.svg?width=110</t>
        </is>
      </c>
      <c r="G19" s="6" t="inlineStr"/>
      <c r="H19" s="6" t="inlineStr">
        <is>
          <t>Medals for non-combat heroism</t>
        </is>
      </c>
      <c r="I19" s="2" t="inlineStr">
        <is>
          <t>https://en.wikipedia.org/wiki/Awards_and_decorations_of_the_United_States_Armed_Forces</t>
        </is>
      </c>
    </row>
    <row r="20" ht="44" customHeight="1">
      <c r="A20" s="4" t="inlineStr">
        <is>
          <t>Currently issued</t>
        </is>
      </c>
      <c r="B20" s="4" t="inlineStr">
        <is>
          <t>Personal decorations</t>
        </is>
      </c>
      <c r="C20" s="9" t="n">
        <v>19</v>
      </c>
      <c r="D20" s="10" t="inlineStr">
        <is>
          <t>Coast Guard Medal</t>
        </is>
      </c>
      <c r="E20" s="5">
        <f>IFERROR(IFERROR(IMAGE("https://commons.wikimedia.org/wiki/Special:FilePath/Coast_Guard_Medal_ribbon.svg?width=110"),IFERROR(IMAGE("https://commons.wikimedia.org/wiki/Special:FilePath/Coast_Guard_Medal_ribbon.png?width=110"),IFERROR(IMAGE("https://commons.wikimedia.org/wiki/Special:FilePath/Coast_Guard_Medal.svg?width=110"),IMAGE("https://commons.wikimedia.org/wiki/Special:FilePath/Coast_Guard_Medal.png?width=110")))),"")</f>
        <v/>
      </c>
      <c r="F20" s="11" t="inlineStr">
        <is>
          <t>https://commons.wikimedia.org/wiki/Special:FilePath/Coast_Guard_Medal_ribbon.svg?width=110</t>
        </is>
      </c>
      <c r="G20" s="4" t="inlineStr"/>
      <c r="H20" s="4" t="inlineStr">
        <is>
          <t>Medals for non-combat heroism</t>
        </is>
      </c>
      <c r="I20" s="2" t="inlineStr">
        <is>
          <t>https://en.wikipedia.org/wiki/Awards_and_decorations_of_the_United_States_Armed_Forces</t>
        </is>
      </c>
    </row>
    <row r="21" ht="44" customHeight="1">
      <c r="A21" s="6" t="inlineStr">
        <is>
          <t>Currently issued</t>
        </is>
      </c>
      <c r="B21" s="6" t="inlineStr">
        <is>
          <t>Personal decorations</t>
        </is>
      </c>
      <c r="C21" s="9" t="n">
        <v>20</v>
      </c>
      <c r="D21" s="12" t="inlineStr">
        <is>
          <t>Bronze Star Medal</t>
        </is>
      </c>
      <c r="E21" s="7">
        <f>IFERROR(IFERROR(IMAGE("https://commons.wikimedia.org/wiki/Special:FilePath/Bronze_Star_Medal_ribbon.svg?width=110"),IFERROR(IMAGE("https://commons.wikimedia.org/wiki/Special:FilePath/Bronze_Star_Medal_ribbon.png?width=110"),IFERROR(IMAGE("https://commons.wikimedia.org/wiki/Special:FilePath/Bronze_Star_Medal.svg?width=110"),IMAGE("https://commons.wikimedia.org/wiki/Special:FilePath/Bronze_Star_Medal.png?width=110")))),"")</f>
        <v/>
      </c>
      <c r="F21" s="11" t="inlineStr">
        <is>
          <t>https://commons.wikimedia.org/wiki/Special:FilePath/Bronze_Star_Medal_ribbon.svg?width=110</t>
        </is>
      </c>
      <c r="G21" s="6" t="inlineStr"/>
      <c r="H21" s="6" t="inlineStr">
        <is>
          <t>Awarded for heroism in combat zone or meritorious service in a war zone</t>
        </is>
      </c>
      <c r="I21" s="2" t="inlineStr">
        <is>
          <t>https://en.wikipedia.org/wiki/Awards_and_decorations_of_the_United_States_Armed_Forces</t>
        </is>
      </c>
    </row>
    <row r="22" ht="44" customHeight="1">
      <c r="A22" s="4" t="inlineStr">
        <is>
          <t>Currently issued</t>
        </is>
      </c>
      <c r="B22" s="4" t="inlineStr">
        <is>
          <t>Personal decorations</t>
        </is>
      </c>
      <c r="C22" s="9" t="n">
        <v>21</v>
      </c>
      <c r="D22" s="10" t="inlineStr">
        <is>
          <t>Purple Heart</t>
        </is>
      </c>
      <c r="E22" s="5">
        <f>IFERROR(IFERROR(IMAGE("https://commons.wikimedia.org/wiki/Special:FilePath/Purple_Heart_ribbon.svg?width=110"),IFERROR(IMAGE("https://commons.wikimedia.org/wiki/Special:FilePath/Purple_Heart_ribbon.png?width=110"),IFERROR(IMAGE("https://commons.wikimedia.org/wiki/Special:FilePath/Purple_Heart.svg?width=110"),IMAGE("https://commons.wikimedia.org/wiki/Special:FilePath/Purple_Heart.png?width=110")))),"")</f>
        <v/>
      </c>
      <c r="F22" s="11" t="inlineStr">
        <is>
          <t>https://commons.wikimedia.org/wiki/Special:FilePath/Purple_Heart_ribbon.svg?width=110</t>
        </is>
      </c>
      <c r="G22" s="4" t="inlineStr"/>
      <c r="H22" s="4" t="inlineStr">
        <is>
          <t>Awarded for wounds suffered in combat</t>
        </is>
      </c>
      <c r="I22" s="2" t="inlineStr">
        <is>
          <t>https://en.wikipedia.org/wiki/Awards_and_decorations_of_the_United_States_Armed_Forces</t>
        </is>
      </c>
    </row>
    <row r="23" ht="44" customHeight="1">
      <c r="A23" s="6" t="inlineStr">
        <is>
          <t>Currently issued</t>
        </is>
      </c>
      <c r="B23" s="6" t="inlineStr">
        <is>
          <t>Personal decorations</t>
        </is>
      </c>
      <c r="C23" s="9" t="n">
        <v>22</v>
      </c>
      <c r="D23" s="12" t="inlineStr">
        <is>
          <t>Defense Meritorious Service Medal</t>
        </is>
      </c>
      <c r="E23" s="7">
        <f>IFERROR(IFERROR(IMAGE("https://commons.wikimedia.org/wiki/Special:FilePath/Defense_Meritorious_Service_Medal_ribbon.svg?width=110"),IFERROR(IMAGE("https://commons.wikimedia.org/wiki/Special:FilePath/Defense_Meritorious_Service_Medal_ribbon.png?width=110"),IFERROR(IMAGE("https://commons.wikimedia.org/wiki/Special:FilePath/Defense_Meritorious_Service_Medal.svg?width=110"),IMAGE("https://commons.wikimedia.org/wiki/Special:FilePath/Defense_Meritorious_Service_Medal.png?width=110")))),"")</f>
        <v/>
      </c>
      <c r="F23" s="11" t="inlineStr">
        <is>
          <t>https://commons.wikimedia.org/wiki/Special:FilePath/Defense_Meritorious_Service_Medal_ribbon.svg?width=110</t>
        </is>
      </c>
      <c r="G23" s="6" t="inlineStr"/>
      <c r="H23" s="6" t="inlineStr">
        <is>
          <t>Meritorious service and aviation medals</t>
        </is>
      </c>
      <c r="I23" s="2" t="inlineStr">
        <is>
          <t>https://en.wikipedia.org/wiki/Awards_and_decorations_of_the_United_States_Armed_Forces</t>
        </is>
      </c>
    </row>
    <row r="24" ht="44" customHeight="1">
      <c r="A24" s="4" t="inlineStr">
        <is>
          <t>Currently issued</t>
        </is>
      </c>
      <c r="B24" s="4" t="inlineStr">
        <is>
          <t>Personal decorations</t>
        </is>
      </c>
      <c r="C24" s="9" t="n">
        <v>23</v>
      </c>
      <c r="D24" s="10" t="inlineStr">
        <is>
          <t>Meritorious Service Medal</t>
        </is>
      </c>
      <c r="E24" s="5">
        <f>IFERROR(IFERROR(IMAGE("https://commons.wikimedia.org/wiki/Special:FilePath/Meritorious_Service_Medal_ribbon.svg?width=110"),IFERROR(IMAGE("https://commons.wikimedia.org/wiki/Special:FilePath/Meritorious_Service_Medal_ribbon.png?width=110"),IFERROR(IMAGE("https://commons.wikimedia.org/wiki/Special:FilePath/Meritorious_Service_Medal.svg?width=110"),IMAGE("https://commons.wikimedia.org/wiki/Special:FilePath/Meritorious_Service_Medal.png?width=110")))),"")</f>
        <v/>
      </c>
      <c r="F24" s="11" t="inlineStr">
        <is>
          <t>https://commons.wikimedia.org/wiki/Special:FilePath/Meritorious_Service_Medal_ribbon.svg?width=110</t>
        </is>
      </c>
      <c r="G24" s="4" t="inlineStr"/>
      <c r="H24" s="4" t="inlineStr">
        <is>
          <t>Meritorious service and aviation medals</t>
        </is>
      </c>
      <c r="I24" s="2" t="inlineStr">
        <is>
          <t>https://en.wikipedia.org/wiki/Awards_and_decorations_of_the_United_States_Armed_Forces</t>
        </is>
      </c>
    </row>
    <row r="25" ht="44" customHeight="1">
      <c r="A25" s="6" t="inlineStr">
        <is>
          <t>Currently issued</t>
        </is>
      </c>
      <c r="B25" s="6" t="inlineStr">
        <is>
          <t>Personal decorations</t>
        </is>
      </c>
      <c r="C25" s="9" t="n">
        <v>24</v>
      </c>
      <c r="D25" s="12" t="inlineStr">
        <is>
          <t>Air Medal</t>
        </is>
      </c>
      <c r="E25" s="7">
        <f>IFERROR(IFERROR(IMAGE("https://commons.wikimedia.org/wiki/Special:FilePath/Air_Medal_ribbon.svg?width=110"),IFERROR(IMAGE("https://commons.wikimedia.org/wiki/Special:FilePath/Air_Medal_ribbon.png?width=110"),IFERROR(IMAGE("https://commons.wikimedia.org/wiki/Special:FilePath/Air_Medal.svg?width=110"),IMAGE("https://commons.wikimedia.org/wiki/Special:FilePath/Air_Medal.png?width=110")))),"")</f>
        <v/>
      </c>
      <c r="F25" s="11" t="inlineStr">
        <is>
          <t>https://commons.wikimedia.org/wiki/Special:FilePath/Air_Medal_ribbon.svg?width=110</t>
        </is>
      </c>
      <c r="G25" s="6" t="inlineStr"/>
      <c r="H25" s="6" t="inlineStr">
        <is>
          <t>Meritorious service and aviation medals</t>
        </is>
      </c>
      <c r="I25" s="2" t="inlineStr">
        <is>
          <t>https://en.wikipedia.org/wiki/Awards_and_decorations_of_the_United_States_Armed_Forces</t>
        </is>
      </c>
    </row>
    <row r="26" ht="44" customHeight="1">
      <c r="A26" s="4" t="inlineStr">
        <is>
          <t>Currently issued</t>
        </is>
      </c>
      <c r="B26" s="4" t="inlineStr">
        <is>
          <t>Personal decorations</t>
        </is>
      </c>
      <c r="C26" s="9" t="n">
        <v>25</v>
      </c>
      <c r="D26" s="10" t="inlineStr">
        <is>
          <t>Aerial Achievement Medal</t>
        </is>
      </c>
      <c r="E26" s="5">
        <f>IFERROR(IFERROR(IMAGE("https://commons.wikimedia.org/wiki/Special:FilePath/Air_and_Space_Forces_Aerial_Achievement_Medal_ribbon.svg?width=110"),IFERROR(IMAGE("https://commons.wikimedia.org/wiki/Special:FilePath/Air_and_Space_Forces_Aerial_Achievement_Medal_ribbon.png?width=110"),IFERROR(IMAGE("https://commons.wikimedia.org/wiki/Special:FilePath/Aerial_Achievement_Medal_Air_and_Space_Forces_ribbon.svg?width=110"),IFERROR(IMAGE("https://commons.wikimedia.org/wiki/Special:FilePath/Aerial_Achievement_Medal_Air_and_Space_Forces_ribbon.png?width=110"),IFERROR(IMAGE("https://commons.wikimedia.org/wiki/Special:FilePath/Aerial_Achievement_Medal_Air_and_Space_Forces.svg?width=110"),IFERROR(IMAGE("https://commons.wikimedia.org/wiki/Special:FilePath/Aerial_Achievement_Medal_Air_and_Space_Forces.png?width=110"),IFERROR(IMAGE("https://commons.wikimedia.org/wiki/Special:FilePath/Aerial_Achievement_Medal_ribbon.svg?width=110"),IMAGE("https://commons.wikimedia.org/wiki/Special:FilePath/Aerial_Achievement_Medal_ribbon.png?width=110")))))))),"")</f>
        <v/>
      </c>
      <c r="F26" s="11" t="inlineStr">
        <is>
          <t>https://commons.wikimedia.org/wiki/Special:FilePath/Air_and_Space_Forces_Aerial_Achievement_Medal_ribbon.svg?width=110</t>
        </is>
      </c>
      <c r="G26" s="4" t="inlineStr">
        <is>
          <t>Air and Space Forces</t>
        </is>
      </c>
      <c r="H26" s="4" t="inlineStr">
        <is>
          <t>Meritorious service and aviation medals</t>
        </is>
      </c>
      <c r="I26" s="2" t="inlineStr">
        <is>
          <t>https://en.wikipedia.org/wiki/Awards_and_decorations_of_the_United_States_Armed_Forces</t>
        </is>
      </c>
    </row>
    <row r="27" ht="44" customHeight="1">
      <c r="A27" s="6" t="inlineStr">
        <is>
          <t>Currently issued</t>
        </is>
      </c>
      <c r="B27" s="6" t="inlineStr">
        <is>
          <t>Personal decorations</t>
        </is>
      </c>
      <c r="C27" s="9" t="n">
        <v>26</v>
      </c>
      <c r="D27" s="12" t="inlineStr">
        <is>
          <t>Joint Service Commendation Medal</t>
        </is>
      </c>
      <c r="E27" s="7">
        <f>IFERROR(IFERROR(IMAGE("https://commons.wikimedia.org/wiki/Special:FilePath/Joint_Service_Commendation_Medal_ribbon.svg?width=110"),IFERROR(IMAGE("https://commons.wikimedia.org/wiki/Special:FilePath/Joint_Service_Commendation_Medal_ribbon.png?width=110"),IFERROR(IMAGE("https://commons.wikimedia.org/wiki/Special:FilePath/Joint_Service_Commendation_Medal.svg?width=110"),IMAGE("https://commons.wikimedia.org/wiki/Special:FilePath/Joint_Service_Commendation_Medal.png?width=110")))),"")</f>
        <v/>
      </c>
      <c r="F27" s="11" t="inlineStr">
        <is>
          <t>https://commons.wikimedia.org/wiki/Special:FilePath/Joint_Service_Commendation_Medal_ribbon.svg?width=110</t>
        </is>
      </c>
      <c r="G27" s="6" t="inlineStr"/>
      <c r="H27" s="6" t="inlineStr">
        <is>
          <t>Commendation medals</t>
        </is>
      </c>
      <c r="I27" s="2" t="inlineStr">
        <is>
          <t>https://en.wikipedia.org/wiki/Awards_and_decorations_of_the_United_States_Armed_Forces</t>
        </is>
      </c>
    </row>
    <row r="28" ht="44" customHeight="1">
      <c r="A28" s="4" t="inlineStr">
        <is>
          <t>Currently issued</t>
        </is>
      </c>
      <c r="B28" s="4" t="inlineStr">
        <is>
          <t>Personal decorations</t>
        </is>
      </c>
      <c r="C28" s="9" t="n">
        <v>27</v>
      </c>
      <c r="D28" s="10" t="inlineStr">
        <is>
          <t>Army Commendation Medal</t>
        </is>
      </c>
      <c r="E28" s="5">
        <f>IFERROR(IFERROR(IMAGE("https://commons.wikimedia.org/wiki/Special:FilePath/Army_Commendation_Medal_ribbon.svg?width=110"),IFERROR(IMAGE("https://commons.wikimedia.org/wiki/Special:FilePath/Army_Commendation_Medal_ribbon.png?width=110"),IFERROR(IMAGE("https://commons.wikimedia.org/wiki/Special:FilePath/Army_Commendation_Medal.svg?width=110"),IMAGE("https://commons.wikimedia.org/wiki/Special:FilePath/Army_Commendation_Medal.png?width=110")))),"")</f>
        <v/>
      </c>
      <c r="F28" s="11" t="inlineStr">
        <is>
          <t>https://commons.wikimedia.org/wiki/Special:FilePath/Army_Commendation_Medal_ribbon.svg?width=110</t>
        </is>
      </c>
      <c r="G28" s="4" t="inlineStr"/>
      <c r="H28" s="4" t="inlineStr">
        <is>
          <t>Commendation medals</t>
        </is>
      </c>
      <c r="I28" s="2" t="inlineStr">
        <is>
          <t>https://en.wikipedia.org/wiki/Awards_and_decorations_of_the_United_States_Armed_Forces</t>
        </is>
      </c>
    </row>
    <row r="29" ht="44" customHeight="1">
      <c r="A29" s="6" t="inlineStr">
        <is>
          <t>Currently issued</t>
        </is>
      </c>
      <c r="B29" s="6" t="inlineStr">
        <is>
          <t>Personal decorations</t>
        </is>
      </c>
      <c r="C29" s="9" t="n">
        <v>28</v>
      </c>
      <c r="D29" s="12" t="inlineStr">
        <is>
          <t>Navy and Marine Corps Commendation Medal</t>
        </is>
      </c>
      <c r="E29" s="7">
        <f>IFERROR(IFERROR(IMAGE("https://commons.wikimedia.org/wiki/Special:FilePath/Navy_and_Marine_Corps_Commendation_Medal_ribbon.svg?width=110"),IFERROR(IMAGE("https://commons.wikimedia.org/wiki/Special:FilePath/Navy_and_Marine_Corps_Commendation_Medal_ribbon.png?width=110"),IFERROR(IMAGE("https://commons.wikimedia.org/wiki/Special:FilePath/Navy_and_Marine_Corps_Commendation_Medal.svg?width=110"),IMAGE("https://commons.wikimedia.org/wiki/Special:FilePath/Navy_and_Marine_Corps_Commendation_Medal.png?width=110")))),"")</f>
        <v/>
      </c>
      <c r="F29" s="11" t="inlineStr">
        <is>
          <t>https://commons.wikimedia.org/wiki/Special:FilePath/Navy_and_Marine_Corps_Commendation_Medal_ribbon.svg?width=110</t>
        </is>
      </c>
      <c r="G29" s="6" t="inlineStr"/>
      <c r="H29" s="6" t="inlineStr">
        <is>
          <t>Commendation medals</t>
        </is>
      </c>
      <c r="I29" s="2" t="inlineStr">
        <is>
          <t>https://en.wikipedia.org/wiki/Awards_and_decorations_of_the_United_States_Armed_Forces</t>
        </is>
      </c>
    </row>
    <row r="30" ht="44" customHeight="1">
      <c r="A30" s="4" t="inlineStr">
        <is>
          <t>Currently issued</t>
        </is>
      </c>
      <c r="B30" s="4" t="inlineStr">
        <is>
          <t>Personal decorations</t>
        </is>
      </c>
      <c r="C30" s="9" t="n">
        <v>29</v>
      </c>
      <c r="D30" s="10" t="inlineStr">
        <is>
          <t>Air and Space Commendation Medal</t>
        </is>
      </c>
      <c r="E30" s="5">
        <f>IFERROR(IFERROR(IMAGE("https://commons.wikimedia.org/wiki/Special:FilePath/Air_and_Space_Commendation_Medal_ribbon.svg?width=110"),IFERROR(IMAGE("https://commons.wikimedia.org/wiki/Special:FilePath/Air_and_Space_Commendation_Medal_ribbon.png?width=110"),IFERROR(IMAGE("https://commons.wikimedia.org/wiki/Special:FilePath/Air_and_Space_Commendation_Medal.svg?width=110"),IMAGE("https://commons.wikimedia.org/wiki/Special:FilePath/Air_and_Space_Commendation_Medal.png?width=110")))),"")</f>
        <v/>
      </c>
      <c r="F30" s="11" t="inlineStr">
        <is>
          <t>https://commons.wikimedia.org/wiki/Special:FilePath/Air_and_Space_Commendation_Medal_ribbon.svg?width=110</t>
        </is>
      </c>
      <c r="G30" s="4" t="inlineStr"/>
      <c r="H30" s="4" t="inlineStr">
        <is>
          <t>Commendation medals</t>
        </is>
      </c>
      <c r="I30" s="2" t="inlineStr">
        <is>
          <t>https://en.wikipedia.org/wiki/Awards_and_decorations_of_the_United_States_Armed_Forces</t>
        </is>
      </c>
    </row>
    <row r="31" ht="44" customHeight="1">
      <c r="A31" s="6" t="inlineStr">
        <is>
          <t>Currently issued</t>
        </is>
      </c>
      <c r="B31" s="6" t="inlineStr">
        <is>
          <t>Personal decorations</t>
        </is>
      </c>
      <c r="C31" s="9" t="n">
        <v>30</v>
      </c>
      <c r="D31" s="12" t="inlineStr">
        <is>
          <t>Coast Guard Commendation Medal</t>
        </is>
      </c>
      <c r="E31" s="7">
        <f>IFERROR(IFERROR(IMAGE("https://commons.wikimedia.org/wiki/Special:FilePath/Coast_Guard_Commendation_Medal_ribbon.svg?width=110"),IFERROR(IMAGE("https://commons.wikimedia.org/wiki/Special:FilePath/Coast_Guard_Commendation_Medal_ribbon.png?width=110"),IFERROR(IMAGE("https://commons.wikimedia.org/wiki/Special:FilePath/Coast_Guard_Commendation_Medal.svg?width=110"),IMAGE("https://commons.wikimedia.org/wiki/Special:FilePath/Coast_Guard_Commendation_Medal.png?width=110")))),"")</f>
        <v/>
      </c>
      <c r="F31" s="11" t="inlineStr">
        <is>
          <t>https://commons.wikimedia.org/wiki/Special:FilePath/Coast_Guard_Commendation_Medal_ribbon.svg?width=110</t>
        </is>
      </c>
      <c r="G31" s="6" t="inlineStr"/>
      <c r="H31" s="6" t="inlineStr">
        <is>
          <t>Commendation medals</t>
        </is>
      </c>
      <c r="I31" s="2" t="inlineStr">
        <is>
          <t>https://en.wikipedia.org/wiki/Awards_and_decorations_of_the_United_States_Armed_Forces</t>
        </is>
      </c>
    </row>
    <row r="32" ht="44" customHeight="1">
      <c r="A32" s="4" t="inlineStr">
        <is>
          <t>Currently issued</t>
        </is>
      </c>
      <c r="B32" s="4" t="inlineStr">
        <is>
          <t>Personal decorations</t>
        </is>
      </c>
      <c r="C32" s="9" t="n">
        <v>31</v>
      </c>
      <c r="D32" s="10" t="inlineStr">
        <is>
          <t>Joint Service Achievement Medal</t>
        </is>
      </c>
      <c r="E32" s="5">
        <f>IFERROR(IFERROR(IMAGE("https://commons.wikimedia.org/wiki/Special:FilePath/Joint_Service_Achievement_Medal_ribbon.svg?width=110"),IFERROR(IMAGE("https://commons.wikimedia.org/wiki/Special:FilePath/Joint_Service_Achievement_Medal_ribbon.png?width=110"),IFERROR(IMAGE("https://commons.wikimedia.org/wiki/Special:FilePath/Joint_Service_Achievement_Medal.svg?width=110"),IMAGE("https://commons.wikimedia.org/wiki/Special:FilePath/Joint_Service_Achievement_Medal.png?width=110")))),"")</f>
        <v/>
      </c>
      <c r="F32" s="11" t="inlineStr">
        <is>
          <t>https://commons.wikimedia.org/wiki/Special:FilePath/Joint_Service_Achievement_Medal_ribbon.svg?width=110</t>
        </is>
      </c>
      <c r="G32" s="4" t="inlineStr"/>
      <c r="H32" s="4" t="inlineStr">
        <is>
          <t>Achievement medals</t>
        </is>
      </c>
      <c r="I32" s="2" t="inlineStr">
        <is>
          <t>https://en.wikipedia.org/wiki/Awards_and_decorations_of_the_United_States_Armed_Forces</t>
        </is>
      </c>
    </row>
    <row r="33" ht="44" customHeight="1">
      <c r="A33" s="6" t="inlineStr">
        <is>
          <t>Currently issued</t>
        </is>
      </c>
      <c r="B33" s="6" t="inlineStr">
        <is>
          <t>Personal decorations</t>
        </is>
      </c>
      <c r="C33" s="9" t="n">
        <v>32</v>
      </c>
      <c r="D33" s="12" t="inlineStr">
        <is>
          <t>Army Achievement Medal</t>
        </is>
      </c>
      <c r="E33" s="7">
        <f>IFERROR(IFERROR(IMAGE("https://commons.wikimedia.org/wiki/Special:FilePath/Army_Achievement_Medal_ribbon.svg?width=110"),IFERROR(IMAGE("https://commons.wikimedia.org/wiki/Special:FilePath/Army_Achievement_Medal_ribbon.png?width=110"),IFERROR(IMAGE("https://commons.wikimedia.org/wiki/Special:FilePath/Army_Achievement_Medal.svg?width=110"),IMAGE("https://commons.wikimedia.org/wiki/Special:FilePath/Army_Achievement_Medal.png?width=110")))),"")</f>
        <v/>
      </c>
      <c r="F33" s="11" t="inlineStr">
        <is>
          <t>https://commons.wikimedia.org/wiki/Special:FilePath/Army_Achievement_Medal_ribbon.svg?width=110</t>
        </is>
      </c>
      <c r="G33" s="6" t="inlineStr"/>
      <c r="H33" s="6" t="inlineStr">
        <is>
          <t>Achievement medals</t>
        </is>
      </c>
      <c r="I33" s="2" t="inlineStr">
        <is>
          <t>https://en.wikipedia.org/wiki/Awards_and_decorations_of_the_United_States_Armed_Forces</t>
        </is>
      </c>
    </row>
    <row r="34" ht="44" customHeight="1">
      <c r="A34" s="4" t="inlineStr">
        <is>
          <t>Currently issued</t>
        </is>
      </c>
      <c r="B34" s="4" t="inlineStr">
        <is>
          <t>Personal decorations</t>
        </is>
      </c>
      <c r="C34" s="9" t="n">
        <v>33</v>
      </c>
      <c r="D34" s="10" t="inlineStr">
        <is>
          <t>Navy and Marine Corps Achievement Medal</t>
        </is>
      </c>
      <c r="E34" s="5">
        <f>IFERROR(IFERROR(IMAGE("https://commons.wikimedia.org/wiki/Special:FilePath/Navy_and_Marine_Corps_Achievement_Medal_ribbon.svg?width=110"),IFERROR(IMAGE("https://commons.wikimedia.org/wiki/Special:FilePath/Navy_and_Marine_Corps_Achievement_Medal_ribbon.png?width=110"),IFERROR(IMAGE("https://commons.wikimedia.org/wiki/Special:FilePath/Navy_and_Marine_Corps_Achievement_Medal.svg?width=110"),IMAGE("https://commons.wikimedia.org/wiki/Special:FilePath/Navy_and_Marine_Corps_Achievement_Medal.png?width=110")))),"")</f>
        <v/>
      </c>
      <c r="F34" s="11" t="inlineStr">
        <is>
          <t>https://commons.wikimedia.org/wiki/Special:FilePath/Navy_and_Marine_Corps_Achievement_Medal_ribbon.svg?width=110</t>
        </is>
      </c>
      <c r="G34" s="4" t="inlineStr"/>
      <c r="H34" s="4" t="inlineStr">
        <is>
          <t>Achievement medals</t>
        </is>
      </c>
      <c r="I34" s="2" t="inlineStr">
        <is>
          <t>https://en.wikipedia.org/wiki/Awards_and_decorations_of_the_United_States_Armed_Forces</t>
        </is>
      </c>
    </row>
    <row r="35" ht="44" customHeight="1">
      <c r="A35" s="6" t="inlineStr">
        <is>
          <t>Currently issued</t>
        </is>
      </c>
      <c r="B35" s="6" t="inlineStr">
        <is>
          <t>Personal decorations</t>
        </is>
      </c>
      <c r="C35" s="9" t="n">
        <v>34</v>
      </c>
      <c r="D35" s="12" t="inlineStr">
        <is>
          <t>Air and Space Achievement Medal</t>
        </is>
      </c>
      <c r="E35" s="7">
        <f>IFERROR(IFERROR(IMAGE("https://commons.wikimedia.org/wiki/Special:FilePath/Air_and_Space_Achievement_Medal_ribbon.svg?width=110"),IFERROR(IMAGE("https://commons.wikimedia.org/wiki/Special:FilePath/Air_and_Space_Achievement_Medal_ribbon.png?width=110"),IFERROR(IMAGE("https://commons.wikimedia.org/wiki/Special:FilePath/Air_and_Space_Achievement_Medal.svg?width=110"),IMAGE("https://commons.wikimedia.org/wiki/Special:FilePath/Air_and_Space_Achievement_Medal.png?width=110")))),"")</f>
        <v/>
      </c>
      <c r="F35" s="11" t="inlineStr">
        <is>
          <t>https://commons.wikimedia.org/wiki/Special:FilePath/Air_and_Space_Achievement_Medal_ribbon.svg?width=110</t>
        </is>
      </c>
      <c r="G35" s="6" t="inlineStr"/>
      <c r="H35" s="6" t="inlineStr">
        <is>
          <t>Achievement medals</t>
        </is>
      </c>
      <c r="I35" s="2" t="inlineStr">
        <is>
          <t>https://en.wikipedia.org/wiki/Awards_and_decorations_of_the_United_States_Armed_Forces</t>
        </is>
      </c>
    </row>
    <row r="36" ht="44" customHeight="1">
      <c r="A36" s="4" t="inlineStr">
        <is>
          <t>Currently issued</t>
        </is>
      </c>
      <c r="B36" s="4" t="inlineStr">
        <is>
          <t>Personal decorations</t>
        </is>
      </c>
      <c r="C36" s="9" t="n">
        <v>35</v>
      </c>
      <c r="D36" s="10" t="inlineStr">
        <is>
          <t>Coast Guard Achievement Medal</t>
        </is>
      </c>
      <c r="E36" s="5">
        <f>IFERROR(IFERROR(IMAGE("https://commons.wikimedia.org/wiki/Special:FilePath/Coast_Guard_Achievement_Medal_ribbon.svg?width=110"),IFERROR(IMAGE("https://commons.wikimedia.org/wiki/Special:FilePath/Coast_Guard_Achievement_Medal_ribbon.png?width=110"),IFERROR(IMAGE("https://commons.wikimedia.org/wiki/Special:FilePath/Coast_Guard_Achievement_Medal.svg?width=110"),IMAGE("https://commons.wikimedia.org/wiki/Special:FilePath/Coast_Guard_Achievement_Medal.png?width=110")))),"")</f>
        <v/>
      </c>
      <c r="F36" s="11" t="inlineStr">
        <is>
          <t>https://commons.wikimedia.org/wiki/Special:FilePath/Coast_Guard_Achievement_Medal_ribbon.svg?width=110</t>
        </is>
      </c>
      <c r="G36" s="4" t="inlineStr"/>
      <c r="H36" s="4" t="inlineStr">
        <is>
          <t>Achievement medals</t>
        </is>
      </c>
      <c r="I36" s="2" t="inlineStr">
        <is>
          <t>https://en.wikipedia.org/wiki/Awards_and_decorations_of_the_United_States_Armed_Forces</t>
        </is>
      </c>
    </row>
    <row r="37" ht="44" customHeight="1">
      <c r="A37" s="6" t="inlineStr">
        <is>
          <t>Currently issued</t>
        </is>
      </c>
      <c r="B37" s="6" t="inlineStr">
        <is>
          <t>Personal decorations</t>
        </is>
      </c>
      <c r="C37" s="9" t="n">
        <v>36</v>
      </c>
      <c r="D37" s="12" t="inlineStr">
        <is>
          <t>Commandant's Letter of Commendation Ribbon</t>
        </is>
      </c>
      <c r="E37" s="7">
        <f>IFERROR(IFERROR(IMAGE("https://commons.wikimedia.org/wiki/Special:FilePath/Coast_Guard_Commandants_Letter_of_Commendation_Ribbon_ribbon.svg?width=110"),IFERROR(IMAGE("https://commons.wikimedia.org/wiki/Special:FilePath/Coast_Guard_Commandants_Letter_of_Commendation_Ribbon_ribbon.png?width=110"),IFERROR(IMAGE("https://commons.wikimedia.org/wiki/Special:FilePath/Commandants_Letter_of_Commendation_Ribbon_Coast_Guard_ribbon.svg?width=110"),IFERROR(IMAGE("https://commons.wikimedia.org/wiki/Special:FilePath/Commandants_Letter_of_Commendation_Ribbon_Coast_Guard_ribbon.png?width=110"),IFERROR(IMAGE("https://commons.wikimedia.org/wiki/Special:FilePath/Commandants_Letter_of_Commendation_Ribbon_Coast_Guard.svg?width=110"),IFERROR(IMAGE("https://commons.wikimedia.org/wiki/Special:FilePath/Commandants_Letter_of_Commendation_Ribbon_Coast_Guard.png?width=110"),IFERROR(IMAGE("https://commons.wikimedia.org/wiki/Special:FilePath/Commandants_Letter_of_Commendation_Ribbon_ribbon.svg?width=110"),IMAGE("https://commons.wikimedia.org/wiki/Special:FilePath/Commandants_Letter_of_Commendation_Ribbon_ribbon.png?width=110")))))))),"")</f>
        <v/>
      </c>
      <c r="F37" s="11" t="inlineStr">
        <is>
          <t>https://commons.wikimedia.org/wiki/Special:FilePath/Coast_Guard_Commandants_Letter_of_Commendation_Ribbon_ribbon.svg?width=110</t>
        </is>
      </c>
      <c r="G37" s="6" t="inlineStr">
        <is>
          <t>Coast Guard</t>
        </is>
      </c>
      <c r="H37" s="6" t="inlineStr">
        <is>
          <t>Achievement medals</t>
        </is>
      </c>
      <c r="I37" s="2" t="inlineStr">
        <is>
          <t>https://en.wikipedia.org/wiki/Awards_and_decorations_of_the_United_States_Armed_Forces</t>
        </is>
      </c>
    </row>
    <row r="38" ht="44" customHeight="1">
      <c r="A38" s="4" t="inlineStr">
        <is>
          <t>Currently issued</t>
        </is>
      </c>
      <c r="B38" s="4" t="inlineStr">
        <is>
          <t>Combat action awards</t>
        </is>
      </c>
      <c r="C38" s="9" t="n">
        <v>37</v>
      </c>
      <c r="D38" s="10" t="inlineStr">
        <is>
          <t>Navy Combat Action Ribbon</t>
        </is>
      </c>
      <c r="E38" s="5">
        <f>IFERROR(IFERROR(IMAGE("https://commons.wikimedia.org/wiki/Special:FilePath/Navy_Combat_Action_Ribbon_ribbon.svg?width=110"),IFERROR(IMAGE("https://commons.wikimedia.org/wiki/Special:FilePath/Navy_Combat_Action_Ribbon_ribbon.png?width=110"),IFERROR(IMAGE("https://commons.wikimedia.org/wiki/Special:FilePath/Navy_Combat_Action_Ribbon.svg?width=110"),IMAGE("https://commons.wikimedia.org/wiki/Special:FilePath/Navy_Combat_Action_Ribbon.png?width=110")))),"")</f>
        <v/>
      </c>
      <c r="F38" s="11" t="inlineStr">
        <is>
          <t>https://commons.wikimedia.org/wiki/Special:FilePath/Navy_Combat_Action_Ribbon_ribbon.svg?width=110</t>
        </is>
      </c>
      <c r="G38" s="4" t="inlineStr"/>
      <c r="H38" s="4" t="inlineStr"/>
      <c r="I38" s="2" t="inlineStr">
        <is>
          <t>https://en.wikipedia.org/wiki/Awards_and_decorations_of_the_United_States_Armed_Forces</t>
        </is>
      </c>
    </row>
    <row r="39" ht="44" customHeight="1">
      <c r="A39" s="6" t="inlineStr">
        <is>
          <t>Currently issued</t>
        </is>
      </c>
      <c r="B39" s="6" t="inlineStr">
        <is>
          <t>Combat action awards</t>
        </is>
      </c>
      <c r="C39" s="9" t="n">
        <v>38</v>
      </c>
      <c r="D39" s="12" t="inlineStr">
        <is>
          <t>Combat Action Medal</t>
        </is>
      </c>
      <c r="E39" s="7">
        <f>IFERROR(IFERROR(IMAGE("https://commons.wikimedia.org/wiki/Special:FilePath/Air_and_Space_Forces_Combat_Action_Medal_ribbon.svg?width=110"),IFERROR(IMAGE("https://commons.wikimedia.org/wiki/Special:FilePath/Air_and_Space_Forces_Combat_Action_Medal_ribbon.png?width=110"),IFERROR(IMAGE("https://commons.wikimedia.org/wiki/Special:FilePath/Combat_Action_Medal_Air_and_Space_Forces_ribbon.svg?width=110"),IFERROR(IMAGE("https://commons.wikimedia.org/wiki/Special:FilePath/Combat_Action_Medal_Air_and_Space_Forces_ribbon.png?width=110"),IFERROR(IMAGE("https://commons.wikimedia.org/wiki/Special:FilePath/Combat_Action_Medal_Air_and_Space_Forces.svg?width=110"),IFERROR(IMAGE("https://commons.wikimedia.org/wiki/Special:FilePath/Combat_Action_Medal_Air_and_Space_Forces.png?width=110"),IFERROR(IMAGE("https://commons.wikimedia.org/wiki/Special:FilePath/Combat_Action_Medal_ribbon.svg?width=110"),IMAGE("https://commons.wikimedia.org/wiki/Special:FilePath/Combat_Action_Medal_ribbon.png?width=110")))))))),"")</f>
        <v/>
      </c>
      <c r="F39" s="11" t="inlineStr">
        <is>
          <t>https://commons.wikimedia.org/wiki/Special:FilePath/Air_and_Space_Forces_Combat_Action_Medal_ribbon.svg?width=110</t>
        </is>
      </c>
      <c r="G39" s="6" t="inlineStr">
        <is>
          <t>Air and Space Forces</t>
        </is>
      </c>
      <c r="H39" s="6" t="inlineStr"/>
      <c r="I39" s="2" t="inlineStr">
        <is>
          <t>https://en.wikipedia.org/wiki/Awards_and_decorations_of_the_United_States_Armed_Forces</t>
        </is>
      </c>
    </row>
    <row r="40" ht="44" customHeight="1">
      <c r="A40" s="4" t="inlineStr">
        <is>
          <t>Currently issued</t>
        </is>
      </c>
      <c r="B40" s="4" t="inlineStr">
        <is>
          <t>Combat action awards</t>
        </is>
      </c>
      <c r="C40" s="9" t="n">
        <v>39</v>
      </c>
      <c r="D40" s="10" t="inlineStr">
        <is>
          <t>Coast Guard Combat Action Ribbon</t>
        </is>
      </c>
      <c r="E40" s="5">
        <f>IFERROR(IFERROR(IMAGE("https://commons.wikimedia.org/wiki/Special:FilePath/Coast_Guard_Combat_Action_Ribbon_ribbon.svg?width=110"),IFERROR(IMAGE("https://commons.wikimedia.org/wiki/Special:FilePath/Coast_Guard_Combat_Action_Ribbon_ribbon.png?width=110"),IFERROR(IMAGE("https://commons.wikimedia.org/wiki/Special:FilePath/Coast_Guard_Combat_Action_Ribbon.svg?width=110"),IMAGE("https://commons.wikimedia.org/wiki/Special:FilePath/Coast_Guard_Combat_Action_Ribbon.png?width=110")))),"")</f>
        <v/>
      </c>
      <c r="F40" s="11" t="inlineStr">
        <is>
          <t>https://commons.wikimedia.org/wiki/Special:FilePath/Coast_Guard_Combat_Action_Ribbon_ribbon.svg?width=110</t>
        </is>
      </c>
      <c r="G40" s="4" t="inlineStr"/>
      <c r="H40" s="4" t="inlineStr"/>
      <c r="I40" s="2" t="inlineStr">
        <is>
          <t>https://en.wikipedia.org/wiki/Awards_and_decorations_of_the_United_States_Armed_Forces</t>
        </is>
      </c>
    </row>
    <row r="41" ht="44" customHeight="1">
      <c r="A41" s="6" t="inlineStr">
        <is>
          <t>Currently issued</t>
        </is>
      </c>
      <c r="B41" s="6" t="inlineStr">
        <is>
          <t>Unit awards</t>
        </is>
      </c>
      <c r="C41" s="9" t="n">
        <v>40</v>
      </c>
      <c r="D41" s="12" t="inlineStr">
        <is>
          <t>Presidential Unit Citation</t>
        </is>
      </c>
      <c r="E41" s="7">
        <f>IFERROR(IFERROR(IMAGE("https://commons.wikimedia.org/wiki/Special:FilePath/Army_Presidential_Unit_Citation_ribbon.svg?width=110"),IFERROR(IMAGE("https://commons.wikimedia.org/wiki/Special:FilePath/Army_Presidential_Unit_Citation_ribbon.png?width=110"),IFERROR(IMAGE("https://commons.wikimedia.org/wiki/Special:FilePath/Presidential_Unit_Citation_Army_ribbon.svg?width=110"),IFERROR(IMAGE("https://commons.wikimedia.org/wiki/Special:FilePath/Presidential_Unit_Citation_Army_ribbon.png?width=110"),IFERROR(IMAGE("https://commons.wikimedia.org/wiki/Special:FilePath/Presidential_Unit_Citation_Army.svg?width=110"),IFERROR(IMAGE("https://commons.wikimedia.org/wiki/Special:FilePath/Presidential_Unit_Citation_Army.png?width=110"),IFERROR(IMAGE("https://commons.wikimedia.org/wiki/Special:FilePath/Presidential_Unit_Citation_ribbon.svg?width=110"),IMAGE("https://commons.wikimedia.org/wiki/Special:FilePath/Presidential_Unit_Citation_ribbon.png?width=110")))))))),"")</f>
        <v/>
      </c>
      <c r="F41" s="11" t="inlineStr">
        <is>
          <t>https://commons.wikimedia.org/wiki/Special:FilePath/Army_Presidential_Unit_Citation_ribbon.svg?width=110</t>
        </is>
      </c>
      <c r="G41" s="6" t="inlineStr">
        <is>
          <t>Army</t>
        </is>
      </c>
      <c r="H41" s="6" t="inlineStr">
        <is>
          <t>Presidential Unit Citations and other unit awards</t>
        </is>
      </c>
      <c r="I41" s="2" t="inlineStr">
        <is>
          <t>https://en.wikipedia.org/wiki/Awards_and_decorations_of_the_United_States_Armed_Forces</t>
        </is>
      </c>
    </row>
    <row r="42" ht="44" customHeight="1">
      <c r="A42" s="4" t="inlineStr">
        <is>
          <t>Currently issued</t>
        </is>
      </c>
      <c r="B42" s="4" t="inlineStr">
        <is>
          <t>Unit awards</t>
        </is>
      </c>
      <c r="C42" s="9" t="n">
        <v>41</v>
      </c>
      <c r="D42" s="10" t="inlineStr">
        <is>
          <t>Presidential Unit Citation</t>
        </is>
      </c>
      <c r="E42" s="5">
        <f>IFERROR(IFERROR(IMAGE("https://commons.wikimedia.org/wiki/Special:FilePath/Navy_and_Marine_Corps_Presidential_Unit_Citation_ribbon.svg?width=110"),IFERROR(IMAGE("https://commons.wikimedia.org/wiki/Special:FilePath/Navy_and_Marine_Corps_Presidential_Unit_Citation_ribbon.png?width=110"),IFERROR(IMAGE("https://commons.wikimedia.org/wiki/Special:FilePath/Presidential_Unit_Citation_Navy_and_Marine_Corps_ribbon.svg?width=110"),IFERROR(IMAGE("https://commons.wikimedia.org/wiki/Special:FilePath/Presidential_Unit_Citation_Navy_and_Marine_Corps_ribbon.png?width=110"),IFERROR(IMAGE("https://commons.wikimedia.org/wiki/Special:FilePath/Presidential_Unit_Citation_Navy_and_Marine_Corps.svg?width=110"),IFERROR(IMAGE("https://commons.wikimedia.org/wiki/Special:FilePath/Presidential_Unit_Citation_Navy_and_Marine_Corps.png?width=110"),IFERROR(IMAGE("https://commons.wikimedia.org/wiki/Special:FilePath/Presidential_Unit_Citation_ribbon.svg?width=110"),IMAGE("https://commons.wikimedia.org/wiki/Special:FilePath/Presidential_Unit_Citation_ribbon.png?width=110")))))))),"")</f>
        <v/>
      </c>
      <c r="F42" s="11" t="inlineStr">
        <is>
          <t>https://commons.wikimedia.org/wiki/Special:FilePath/Navy_and_Marine_Corps_Presidential_Unit_Citation_ribbon.svg?width=110</t>
        </is>
      </c>
      <c r="G42" s="4" t="inlineStr">
        <is>
          <t>Navy and Marine Corps</t>
        </is>
      </c>
      <c r="H42" s="4" t="inlineStr">
        <is>
          <t>Presidential Unit Citations and other unit awards</t>
        </is>
      </c>
      <c r="I42" s="2" t="inlineStr">
        <is>
          <t>https://en.wikipedia.org/wiki/Awards_and_decorations_of_the_United_States_Armed_Forces</t>
        </is>
      </c>
    </row>
    <row r="43" ht="44" customHeight="1">
      <c r="A43" s="6" t="inlineStr">
        <is>
          <t>Currently issued</t>
        </is>
      </c>
      <c r="B43" s="6" t="inlineStr">
        <is>
          <t>Unit awards</t>
        </is>
      </c>
      <c r="C43" s="9" t="n">
        <v>42</v>
      </c>
      <c r="D43" s="12" t="inlineStr">
        <is>
          <t>Presidential Unit Citation</t>
        </is>
      </c>
      <c r="E43" s="7">
        <f>IFERROR(IFERROR(IMAGE("https://commons.wikimedia.org/wiki/Special:FilePath/Air_and_Space_Forces_Presidential_Unit_Citation_ribbon.svg?width=110"),IFERROR(IMAGE("https://commons.wikimedia.org/wiki/Special:FilePath/Air_and_Space_Forces_Presidential_Unit_Citation_ribbon.png?width=110"),IFERROR(IMAGE("https://commons.wikimedia.org/wiki/Special:FilePath/Presidential_Unit_Citation_Air_and_Space_Forces_ribbon.svg?width=110"),IFERROR(IMAGE("https://commons.wikimedia.org/wiki/Special:FilePath/Presidential_Unit_Citation_Air_and_Space_Forces_ribbon.png?width=110"),IFERROR(IMAGE("https://commons.wikimedia.org/wiki/Special:FilePath/Presidential_Unit_Citation_Air_and_Space_Forces.svg?width=110"),IFERROR(IMAGE("https://commons.wikimedia.org/wiki/Special:FilePath/Presidential_Unit_Citation_Air_and_Space_Forces.png?width=110"),IFERROR(IMAGE("https://commons.wikimedia.org/wiki/Special:FilePath/Presidential_Unit_Citation_ribbon.svg?width=110"),IMAGE("https://commons.wikimedia.org/wiki/Special:FilePath/Presidential_Unit_Citation_ribbon.png?width=110")))))))),"")</f>
        <v/>
      </c>
      <c r="F43" s="11" t="inlineStr">
        <is>
          <t>https://commons.wikimedia.org/wiki/Special:FilePath/Air_and_Space_Forces_Presidential_Unit_Citation_ribbon.svg?width=110</t>
        </is>
      </c>
      <c r="G43" s="6" t="inlineStr">
        <is>
          <t>Air and Space Forces</t>
        </is>
      </c>
      <c r="H43" s="6" t="inlineStr">
        <is>
          <t>Presidential Unit Citations and other unit awards</t>
        </is>
      </c>
      <c r="I43" s="2" t="inlineStr">
        <is>
          <t>https://en.wikipedia.org/wiki/Awards_and_decorations_of_the_United_States_Armed_Forces</t>
        </is>
      </c>
    </row>
    <row r="44" ht="44" customHeight="1">
      <c r="A44" s="4" t="inlineStr">
        <is>
          <t>Currently issued</t>
        </is>
      </c>
      <c r="B44" s="4" t="inlineStr">
        <is>
          <t>Unit awards</t>
        </is>
      </c>
      <c r="C44" s="9" t="n">
        <v>43</v>
      </c>
      <c r="D44" s="10" t="inlineStr">
        <is>
          <t>Presidential Unit Citation</t>
        </is>
      </c>
      <c r="E44" s="5">
        <f>IFERROR(IFERROR(IMAGE("https://commons.wikimedia.org/wiki/Special:FilePath/Coast_Guard_Presidential_Unit_Citation_ribbon.svg?width=110"),IFERROR(IMAGE("https://commons.wikimedia.org/wiki/Special:FilePath/Coast_Guard_Presidential_Unit_Citation_ribbon.png?width=110"),IFERROR(IMAGE("https://commons.wikimedia.org/wiki/Special:FilePath/Presidential_Unit_Citation_Coast_Guard_ribbon.svg?width=110"),IFERROR(IMAGE("https://commons.wikimedia.org/wiki/Special:FilePath/Presidential_Unit_Citation_Coast_Guard_ribbon.png?width=110"),IFERROR(IMAGE("https://commons.wikimedia.org/wiki/Special:FilePath/Presidential_Unit_Citation_Coast_Guard.svg?width=110"),IFERROR(IMAGE("https://commons.wikimedia.org/wiki/Special:FilePath/Presidential_Unit_Citation_Coast_Guard.png?width=110"),IFERROR(IMAGE("https://commons.wikimedia.org/wiki/Special:FilePath/Presidential_Unit_Citation_ribbon.svg?width=110"),IMAGE("https://commons.wikimedia.org/wiki/Special:FilePath/Presidential_Unit_Citation_ribbon.png?width=110")))))))),"")</f>
        <v/>
      </c>
      <c r="F44" s="11" t="inlineStr">
        <is>
          <t>https://commons.wikimedia.org/wiki/Special:FilePath/Coast_Guard_Presidential_Unit_Citation_ribbon.svg?width=110</t>
        </is>
      </c>
      <c r="G44" s="4" t="inlineStr">
        <is>
          <t>Coast Guard</t>
        </is>
      </c>
      <c r="H44" s="4" t="inlineStr">
        <is>
          <t>Presidential Unit Citations and other unit awards</t>
        </is>
      </c>
      <c r="I44" s="2" t="inlineStr">
        <is>
          <t>https://en.wikipedia.org/wiki/Awards_and_decorations_of_the_United_States_Armed_Forces</t>
        </is>
      </c>
    </row>
    <row r="45" ht="44" customHeight="1">
      <c r="A45" s="6" t="inlineStr">
        <is>
          <t>Currently issued</t>
        </is>
      </c>
      <c r="B45" s="6" t="inlineStr">
        <is>
          <t>Unit awards</t>
        </is>
      </c>
      <c r="C45" s="9" t="n">
        <v>44</v>
      </c>
      <c r="D45" s="12" t="inlineStr">
        <is>
          <t>Joint Meritorious Unit Award</t>
        </is>
      </c>
      <c r="E45" s="7">
        <f>IFERROR(IFERROR(IMAGE("https://commons.wikimedia.org/wiki/Special:FilePath/Joint_Meritorious_Unit_Award_ribbon.svg?width=110"),IFERROR(IMAGE("https://commons.wikimedia.org/wiki/Special:FilePath/Joint_Meritorious_Unit_Award_ribbon.png?width=110"),IFERROR(IMAGE("https://commons.wikimedia.org/wiki/Special:FilePath/Joint_Meritorious_Unit_Award.svg?width=110"),IMAGE("https://commons.wikimedia.org/wiki/Special:FilePath/Joint_Meritorious_Unit_Award.png?width=110")))),"")</f>
        <v/>
      </c>
      <c r="F45" s="11" t="inlineStr">
        <is>
          <t>https://commons.wikimedia.org/wiki/Special:FilePath/Joint_Meritorious_Unit_Award_ribbon.svg?width=110</t>
        </is>
      </c>
      <c r="G45" s="6" t="inlineStr"/>
      <c r="H45" s="6" t="inlineStr">
        <is>
          <t>Presidential Unit Citations and other unit awards</t>
        </is>
      </c>
      <c r="I45" s="2" t="inlineStr">
        <is>
          <t>https://en.wikipedia.org/wiki/Awards_and_decorations_of_the_United_States_Armed_Forces</t>
        </is>
      </c>
    </row>
    <row r="46" ht="44" customHeight="1">
      <c r="A46" s="4" t="inlineStr">
        <is>
          <t>Currently issued</t>
        </is>
      </c>
      <c r="B46" s="4" t="inlineStr">
        <is>
          <t>Unit awards</t>
        </is>
      </c>
      <c r="C46" s="9" t="n">
        <v>45</v>
      </c>
      <c r="D46" s="10" t="inlineStr">
        <is>
          <t>DHS Outstanding Unit Award</t>
        </is>
      </c>
      <c r="E46" s="5">
        <f>IFERROR(IFERROR(IMAGE("https://commons.wikimedia.org/wiki/Special:FilePath/DHS_Outstanding_Unit_Award_ribbon.svg?width=110"),IFERROR(IMAGE("https://commons.wikimedia.org/wiki/Special:FilePath/DHS_Outstanding_Unit_Award_ribbon.png?width=110"),IFERROR(IMAGE("https://commons.wikimedia.org/wiki/Special:FilePath/DHS_Outstanding_Unit_Award.svg?width=110"),IMAGE("https://commons.wikimedia.org/wiki/Special:FilePath/DHS_Outstanding_Unit_Award.png?width=110")))),"")</f>
        <v/>
      </c>
      <c r="F46" s="11" t="inlineStr">
        <is>
          <t>https://commons.wikimedia.org/wiki/Special:FilePath/DHS_Outstanding_Unit_Award_ribbon.svg?width=110</t>
        </is>
      </c>
      <c r="G46" s="4" t="inlineStr"/>
      <c r="H46" s="4" t="inlineStr">
        <is>
          <t>Presidential Unit Citations and other unit awards</t>
        </is>
      </c>
      <c r="I46" s="2" t="inlineStr">
        <is>
          <t>https://en.wikipedia.org/wiki/Awards_and_decorations_of_the_United_States_Armed_Forces</t>
        </is>
      </c>
    </row>
    <row r="47" ht="44" customHeight="1">
      <c r="A47" s="6" t="inlineStr">
        <is>
          <t>Currently issued</t>
        </is>
      </c>
      <c r="B47" s="6" t="inlineStr">
        <is>
          <t>Unit awards</t>
        </is>
      </c>
      <c r="C47" s="9" t="n">
        <v>46</v>
      </c>
      <c r="D47" s="12" t="inlineStr">
        <is>
          <t>Valorous Unit Award</t>
        </is>
      </c>
      <c r="E47" s="7">
        <f>IFERROR(IFERROR(IMAGE("https://commons.wikimedia.org/wiki/Special:FilePath/Army_Valorous_Unit_Award_ribbon.svg?width=110"),IFERROR(IMAGE("https://commons.wikimedia.org/wiki/Special:FilePath/Army_Valorous_Unit_Award_ribbon.png?width=110"),IFERROR(IMAGE("https://commons.wikimedia.org/wiki/Special:FilePath/Valorous_Unit_Award_Army_ribbon.svg?width=110"),IFERROR(IMAGE("https://commons.wikimedia.org/wiki/Special:FilePath/Valorous_Unit_Award_Army_ribbon.png?width=110"),IFERROR(IMAGE("https://commons.wikimedia.org/wiki/Special:FilePath/Valorous_Unit_Award_Army.svg?width=110"),IFERROR(IMAGE("https://commons.wikimedia.org/wiki/Special:FilePath/Valorous_Unit_Award_Army.png?width=110"),IFERROR(IMAGE("https://commons.wikimedia.org/wiki/Special:FilePath/Valorous_Unit_Award_ribbon.svg?width=110"),IMAGE("https://commons.wikimedia.org/wiki/Special:FilePath/Valorous_Unit_Award_ribbon.png?width=110")))))))),"")</f>
        <v/>
      </c>
      <c r="F47" s="11" t="inlineStr">
        <is>
          <t>https://commons.wikimedia.org/wiki/Special:FilePath/Army_Valorous_Unit_Award_ribbon.svg?width=110</t>
        </is>
      </c>
      <c r="G47" s="6" t="inlineStr">
        <is>
          <t>Army</t>
        </is>
      </c>
      <c r="H47" s="6" t="inlineStr">
        <is>
          <t>Presidential Unit Citations and other unit awards</t>
        </is>
      </c>
      <c r="I47" s="2" t="inlineStr">
        <is>
          <t>https://en.wikipedia.org/wiki/Awards_and_decorations_of_the_United_States_Armed_Forces</t>
        </is>
      </c>
    </row>
    <row r="48" ht="44" customHeight="1">
      <c r="A48" s="4" t="inlineStr">
        <is>
          <t>Currently issued</t>
        </is>
      </c>
      <c r="B48" s="4" t="inlineStr">
        <is>
          <t>Unit awards</t>
        </is>
      </c>
      <c r="C48" s="9" t="n">
        <v>47</v>
      </c>
      <c r="D48" s="10" t="inlineStr">
        <is>
          <t>Navy Unit Commendation</t>
        </is>
      </c>
      <c r="E48" s="5">
        <f>IFERROR(IFERROR(IMAGE("https://commons.wikimedia.org/wiki/Special:FilePath/Navy_Unit_Commendation_ribbon.svg?width=110"),IFERROR(IMAGE("https://commons.wikimedia.org/wiki/Special:FilePath/Navy_Unit_Commendation_ribbon.png?width=110"),IFERROR(IMAGE("https://commons.wikimedia.org/wiki/Special:FilePath/Navy_Unit_Commendation.svg?width=110"),IMAGE("https://commons.wikimedia.org/wiki/Special:FilePath/Navy_Unit_Commendation.png?width=110")))),"")</f>
        <v/>
      </c>
      <c r="F48" s="11" t="inlineStr">
        <is>
          <t>https://commons.wikimedia.org/wiki/Special:FilePath/Navy_Unit_Commendation_ribbon.svg?width=110</t>
        </is>
      </c>
      <c r="G48" s="4" t="inlineStr"/>
      <c r="H48" s="4" t="inlineStr">
        <is>
          <t>Presidential Unit Citations and other unit awards</t>
        </is>
      </c>
      <c r="I48" s="2" t="inlineStr">
        <is>
          <t>https://en.wikipedia.org/wiki/Awards_and_decorations_of_the_United_States_Armed_Forces</t>
        </is>
      </c>
    </row>
    <row r="49" ht="44" customHeight="1">
      <c r="A49" s="6" t="inlineStr">
        <is>
          <t>Currently issued</t>
        </is>
      </c>
      <c r="B49" s="6" t="inlineStr">
        <is>
          <t>Unit awards</t>
        </is>
      </c>
      <c r="C49" s="9" t="n">
        <v>48</v>
      </c>
      <c r="D49" s="12" t="inlineStr">
        <is>
          <t>Gallant Unit Citation</t>
        </is>
      </c>
      <c r="E49" s="7">
        <f>IFERROR(IFERROR(IMAGE("https://commons.wikimedia.org/wiki/Special:FilePath/Air_and_Space_Forces_Gallant_Unit_Citation_ribbon.svg?width=110"),IFERROR(IMAGE("https://commons.wikimedia.org/wiki/Special:FilePath/Air_and_Space_Forces_Gallant_Unit_Citation_ribbon.png?width=110"),IFERROR(IMAGE("https://commons.wikimedia.org/wiki/Special:FilePath/Gallant_Unit_Citation_Air_and_Space_Forces_ribbon.svg?width=110"),IFERROR(IMAGE("https://commons.wikimedia.org/wiki/Special:FilePath/Gallant_Unit_Citation_Air_and_Space_Forces_ribbon.png?width=110"),IFERROR(IMAGE("https://commons.wikimedia.org/wiki/Special:FilePath/Gallant_Unit_Citation_Air_and_Space_Forces.svg?width=110"),IFERROR(IMAGE("https://commons.wikimedia.org/wiki/Special:FilePath/Gallant_Unit_Citation_Air_and_Space_Forces.png?width=110"),IFERROR(IMAGE("https://commons.wikimedia.org/wiki/Special:FilePath/Gallant_Unit_Citation_ribbon.svg?width=110"),IMAGE("https://commons.wikimedia.org/wiki/Special:FilePath/Gallant_Unit_Citation_ribbon.png?width=110")))))))),"")</f>
        <v/>
      </c>
      <c r="F49" s="11" t="inlineStr">
        <is>
          <t>https://commons.wikimedia.org/wiki/Special:FilePath/Air_and_Space_Forces_Gallant_Unit_Citation_ribbon.svg?width=110</t>
        </is>
      </c>
      <c r="G49" s="6" t="inlineStr">
        <is>
          <t>Air and Space Forces</t>
        </is>
      </c>
      <c r="H49" s="6" t="inlineStr">
        <is>
          <t>Presidential Unit Citations and other unit awards</t>
        </is>
      </c>
      <c r="I49" s="2" t="inlineStr">
        <is>
          <t>https://en.wikipedia.org/wiki/Awards_and_decorations_of_the_United_States_Armed_Forces</t>
        </is>
      </c>
    </row>
    <row r="50" ht="44" customHeight="1">
      <c r="A50" s="4" t="inlineStr">
        <is>
          <t>Currently issued</t>
        </is>
      </c>
      <c r="B50" s="4" t="inlineStr">
        <is>
          <t>Unit awards</t>
        </is>
      </c>
      <c r="C50" s="9" t="n">
        <v>49</v>
      </c>
      <c r="D50" s="10" t="inlineStr">
        <is>
          <t>Coast Guard Unit Commendation</t>
        </is>
      </c>
      <c r="E50" s="5">
        <f>IFERROR(IFERROR(IMAGE("https://commons.wikimedia.org/wiki/Special:FilePath/Coast_Guard_Unit_Commendation_ribbon.svg?width=110"),IFERROR(IMAGE("https://commons.wikimedia.org/wiki/Special:FilePath/Coast_Guard_Unit_Commendation_ribbon.png?width=110"),IFERROR(IMAGE("https://commons.wikimedia.org/wiki/Special:FilePath/Coast_Guard_Unit_Commendation.svg?width=110"),IMAGE("https://commons.wikimedia.org/wiki/Special:FilePath/Coast_Guard_Unit_Commendation.png?width=110")))),"")</f>
        <v/>
      </c>
      <c r="F50" s="11" t="inlineStr">
        <is>
          <t>https://commons.wikimedia.org/wiki/Special:FilePath/Coast_Guard_Unit_Commendation_ribbon.svg?width=110</t>
        </is>
      </c>
      <c r="G50" s="4" t="inlineStr"/>
      <c r="H50" s="4" t="inlineStr">
        <is>
          <t>Presidential Unit Citations and other unit awards</t>
        </is>
      </c>
      <c r="I50" s="2" t="inlineStr">
        <is>
          <t>https://en.wikipedia.org/wiki/Awards_and_decorations_of_the_United_States_Armed_Forces</t>
        </is>
      </c>
    </row>
    <row r="51" ht="44" customHeight="1">
      <c r="A51" s="6" t="inlineStr">
        <is>
          <t>Currently issued</t>
        </is>
      </c>
      <c r="B51" s="6" t="inlineStr">
        <is>
          <t>Unit awards</t>
        </is>
      </c>
      <c r="C51" s="9" t="n">
        <v>50</v>
      </c>
      <c r="D51" s="12" t="inlineStr">
        <is>
          <t>Army Meritorious Unit Commendation</t>
        </is>
      </c>
      <c r="E51" s="7">
        <f>IFERROR(IFERROR(IMAGE("https://commons.wikimedia.org/wiki/Special:FilePath/Army_Meritorious_Unit_Commendation_ribbon.svg?width=110"),IFERROR(IMAGE("https://commons.wikimedia.org/wiki/Special:FilePath/Army_Meritorious_Unit_Commendation_ribbon.png?width=110"),IFERROR(IMAGE("https://commons.wikimedia.org/wiki/Special:FilePath/Army_Meritorious_Unit_Commendation.svg?width=110"),IMAGE("https://commons.wikimedia.org/wiki/Special:FilePath/Army_Meritorious_Unit_Commendation.png?width=110")))),"")</f>
        <v/>
      </c>
      <c r="F51" s="11" t="inlineStr">
        <is>
          <t>https://commons.wikimedia.org/wiki/Special:FilePath/Army_Meritorious_Unit_Commendation_ribbon.svg?width=110</t>
        </is>
      </c>
      <c r="G51" s="6" t="inlineStr"/>
      <c r="H51" s="6" t="inlineStr">
        <is>
          <t>Meritorious Unit Commendations</t>
        </is>
      </c>
      <c r="I51" s="2" t="inlineStr">
        <is>
          <t>https://en.wikipedia.org/wiki/Awards_and_decorations_of_the_United_States_Armed_Forces</t>
        </is>
      </c>
    </row>
    <row r="52" ht="44" customHeight="1">
      <c r="A52" s="4" t="inlineStr">
        <is>
          <t>Currently issued</t>
        </is>
      </c>
      <c r="B52" s="4" t="inlineStr">
        <is>
          <t>Unit awards</t>
        </is>
      </c>
      <c r="C52" s="9" t="n">
        <v>51</v>
      </c>
      <c r="D52" s="10" t="inlineStr">
        <is>
          <t>Navy Meritorious Unit Commendation</t>
        </is>
      </c>
      <c r="E52" s="5">
        <f>IFERROR(IFERROR(IMAGE("https://commons.wikimedia.org/wiki/Special:FilePath/Navy_Meritorious_Unit_Commendation_ribbon.svg?width=110"),IFERROR(IMAGE("https://commons.wikimedia.org/wiki/Special:FilePath/Navy_Meritorious_Unit_Commendation_ribbon.png?width=110"),IFERROR(IMAGE("https://commons.wikimedia.org/wiki/Special:FilePath/Navy_Meritorious_Unit_Commendation.svg?width=110"),IMAGE("https://commons.wikimedia.org/wiki/Special:FilePath/Navy_Meritorious_Unit_Commendation.png?width=110")))),"")</f>
        <v/>
      </c>
      <c r="F52" s="11" t="inlineStr">
        <is>
          <t>https://commons.wikimedia.org/wiki/Special:FilePath/Navy_Meritorious_Unit_Commendation_ribbon.svg?width=110</t>
        </is>
      </c>
      <c r="G52" s="4" t="inlineStr"/>
      <c r="H52" s="4" t="inlineStr">
        <is>
          <t>Meritorious Unit Commendations</t>
        </is>
      </c>
      <c r="I52" s="2" t="inlineStr">
        <is>
          <t>https://en.wikipedia.org/wiki/Awards_and_decorations_of_the_United_States_Armed_Forces</t>
        </is>
      </c>
    </row>
    <row r="53" ht="44" customHeight="1">
      <c r="A53" s="6" t="inlineStr">
        <is>
          <t>Currently issued</t>
        </is>
      </c>
      <c r="B53" s="6" t="inlineStr">
        <is>
          <t>Unit awards</t>
        </is>
      </c>
      <c r="C53" s="9" t="n">
        <v>52</v>
      </c>
      <c r="D53" s="12" t="inlineStr">
        <is>
          <t>Meritorious Unit Award</t>
        </is>
      </c>
      <c r="E53" s="7">
        <f>IFERROR(IFERROR(IMAGE("https://commons.wikimedia.org/wiki/Special:FilePath/Air_and_Space_Forces_Meritorious_Unit_Award_ribbon.svg?width=110"),IFERROR(IMAGE("https://commons.wikimedia.org/wiki/Special:FilePath/Air_and_Space_Forces_Meritorious_Unit_Award_ribbon.png?width=110"),IFERROR(IMAGE("https://commons.wikimedia.org/wiki/Special:FilePath/Meritorious_Unit_Award_Air_and_Space_Forces_ribbon.svg?width=110"),IFERROR(IMAGE("https://commons.wikimedia.org/wiki/Special:FilePath/Meritorious_Unit_Award_Air_and_Space_Forces_ribbon.png?width=110"),IFERROR(IMAGE("https://commons.wikimedia.org/wiki/Special:FilePath/Meritorious_Unit_Award_Air_and_Space_Forces.svg?width=110"),IFERROR(IMAGE("https://commons.wikimedia.org/wiki/Special:FilePath/Meritorious_Unit_Award_Air_and_Space_Forces.png?width=110"),IFERROR(IMAGE("https://commons.wikimedia.org/wiki/Special:FilePath/Meritorious_Unit_Award_ribbon.svg?width=110"),IMAGE("https://commons.wikimedia.org/wiki/Special:FilePath/Meritorious_Unit_Award_ribbon.png?width=110")))))))),"")</f>
        <v/>
      </c>
      <c r="F53" s="11" t="inlineStr">
        <is>
          <t>https://commons.wikimedia.org/wiki/Special:FilePath/Air_and_Space_Forces_Meritorious_Unit_Award_ribbon.svg?width=110</t>
        </is>
      </c>
      <c r="G53" s="6" t="inlineStr">
        <is>
          <t>Air and Space Forces</t>
        </is>
      </c>
      <c r="H53" s="6" t="inlineStr">
        <is>
          <t>Meritorious Unit Commendations</t>
        </is>
      </c>
      <c r="I53" s="2" t="inlineStr">
        <is>
          <t>https://en.wikipedia.org/wiki/Awards_and_decorations_of_the_United_States_Armed_Forces</t>
        </is>
      </c>
    </row>
    <row r="54" ht="44" customHeight="1">
      <c r="A54" s="4" t="inlineStr">
        <is>
          <t>Currently issued</t>
        </is>
      </c>
      <c r="B54" s="4" t="inlineStr">
        <is>
          <t>Unit awards</t>
        </is>
      </c>
      <c r="C54" s="9" t="n">
        <v>53</v>
      </c>
      <c r="D54" s="10" t="inlineStr">
        <is>
          <t>Coast Guard Meritorious Unit Commendation</t>
        </is>
      </c>
      <c r="E54" s="5">
        <f>IFERROR(IFERROR(IMAGE("https://commons.wikimedia.org/wiki/Special:FilePath/Coast_Guard_Meritorious_Unit_Commendation_ribbon.svg?width=110"),IFERROR(IMAGE("https://commons.wikimedia.org/wiki/Special:FilePath/Coast_Guard_Meritorious_Unit_Commendation_ribbon.png?width=110"),IFERROR(IMAGE("https://commons.wikimedia.org/wiki/Special:FilePath/Coast_Guard_Meritorious_Unit_Commendation.svg?width=110"),IMAGE("https://commons.wikimedia.org/wiki/Special:FilePath/Coast_Guard_Meritorious_Unit_Commendation.png?width=110")))),"")</f>
        <v/>
      </c>
      <c r="F54" s="11" t="inlineStr">
        <is>
          <t>https://commons.wikimedia.org/wiki/Special:FilePath/Coast_Guard_Meritorious_Unit_Commendation_ribbon.svg?width=110</t>
        </is>
      </c>
      <c r="G54" s="4" t="inlineStr"/>
      <c r="H54" s="4" t="inlineStr">
        <is>
          <t>Meritorious Unit Commendations</t>
        </is>
      </c>
      <c r="I54" s="2" t="inlineStr">
        <is>
          <t>https://en.wikipedia.org/wiki/Awards_and_decorations_of_the_United_States_Armed_Forces</t>
        </is>
      </c>
    </row>
    <row r="55" ht="44" customHeight="1">
      <c r="A55" s="6" t="inlineStr">
        <is>
          <t>Currently issued</t>
        </is>
      </c>
      <c r="B55" s="6" t="inlineStr">
        <is>
          <t>Unit awards</t>
        </is>
      </c>
      <c r="C55" s="9" t="n">
        <v>54</v>
      </c>
      <c r="D55" s="12" t="inlineStr">
        <is>
          <t>Coast Guard Meritorious Team Commendation</t>
        </is>
      </c>
      <c r="E55" s="7">
        <f>IFERROR(IFERROR(IMAGE("https://commons.wikimedia.org/wiki/Special:FilePath/Coast_Guard_Meritorious_Team_Commendation_ribbon.svg?width=110"),IFERROR(IMAGE("https://commons.wikimedia.org/wiki/Special:FilePath/Coast_Guard_Meritorious_Team_Commendation_ribbon.png?width=110"),IFERROR(IMAGE("https://commons.wikimedia.org/wiki/Special:FilePath/Coast_Guard_Meritorious_Team_Commendation.svg?width=110"),IMAGE("https://commons.wikimedia.org/wiki/Special:FilePath/Coast_Guard_Meritorious_Team_Commendation.png?width=110")))),"")</f>
        <v/>
      </c>
      <c r="F55" s="11" t="inlineStr">
        <is>
          <t>https://commons.wikimedia.org/wiki/Special:FilePath/Coast_Guard_Meritorious_Team_Commendation_ribbon.svg?width=110</t>
        </is>
      </c>
      <c r="G55" s="6" t="inlineStr"/>
      <c r="H55" s="6" t="inlineStr">
        <is>
          <t>Meritorious Unit Commendations</t>
        </is>
      </c>
      <c r="I55" s="2" t="inlineStr">
        <is>
          <t>https://en.wikipedia.org/wiki/Awards_and_decorations_of_the_United_States_Armed_Forces</t>
        </is>
      </c>
    </row>
    <row r="56" ht="44" customHeight="1">
      <c r="A56" s="4" t="inlineStr">
        <is>
          <t>Currently issued</t>
        </is>
      </c>
      <c r="B56" s="4" t="inlineStr">
        <is>
          <t>Unit awards</t>
        </is>
      </c>
      <c r="C56" s="9" t="n">
        <v>55</v>
      </c>
      <c r="D56" s="10" t="inlineStr">
        <is>
          <t>Army Superior Unit Award</t>
        </is>
      </c>
      <c r="E56" s="5">
        <f>IFERROR(IFERROR(IMAGE("https://commons.wikimedia.org/wiki/Special:FilePath/Army_Superior_Unit_Award_ribbon.svg?width=110"),IFERROR(IMAGE("https://commons.wikimedia.org/wiki/Special:FilePath/Army_Superior_Unit_Award_ribbon.png?width=110"),IFERROR(IMAGE("https://commons.wikimedia.org/wiki/Special:FilePath/Army_Superior_Unit_Award.svg?width=110"),IMAGE("https://commons.wikimedia.org/wiki/Special:FilePath/Army_Superior_Unit_Award.png?width=110")))),"")</f>
        <v/>
      </c>
      <c r="F56" s="11" t="inlineStr">
        <is>
          <t>https://commons.wikimedia.org/wiki/Special:FilePath/Army_Superior_Unit_Award_ribbon.svg?width=110</t>
        </is>
      </c>
      <c r="G56" s="4" t="inlineStr"/>
      <c r="H56" s="4" t="inlineStr">
        <is>
          <t>Meritorious Unit Commendations</t>
        </is>
      </c>
      <c r="I56" s="2" t="inlineStr">
        <is>
          <t>https://en.wikipedia.org/wiki/Awards_and_decorations_of_the_United_States_Armed_Forces</t>
        </is>
      </c>
    </row>
    <row r="57" ht="44" customHeight="1">
      <c r="A57" s="6" t="inlineStr">
        <is>
          <t>Currently issued</t>
        </is>
      </c>
      <c r="B57" s="6" t="inlineStr">
        <is>
          <t>Unit awards</t>
        </is>
      </c>
      <c r="C57" s="9" t="n">
        <v>56</v>
      </c>
      <c r="D57" s="12" t="inlineStr">
        <is>
          <t>Air and Space Outstanding Unit Award</t>
        </is>
      </c>
      <c r="E57" s="7">
        <f>IFERROR(IFERROR(IMAGE("https://commons.wikimedia.org/wiki/Special:FilePath/Air_and_Space_Outstanding_Unit_Award_ribbon.svg?width=110"),IFERROR(IMAGE("https://commons.wikimedia.org/wiki/Special:FilePath/Air_and_Space_Outstanding_Unit_Award_ribbon.png?width=110"),IFERROR(IMAGE("https://commons.wikimedia.org/wiki/Special:FilePath/Air_and_Space_Outstanding_Unit_Award.svg?width=110"),IMAGE("https://commons.wikimedia.org/wiki/Special:FilePath/Air_and_Space_Outstanding_Unit_Award.png?width=110")))),"")</f>
        <v/>
      </c>
      <c r="F57" s="11" t="inlineStr">
        <is>
          <t>https://commons.wikimedia.org/wiki/Special:FilePath/Air_and_Space_Outstanding_Unit_Award_ribbon.svg?width=110</t>
        </is>
      </c>
      <c r="G57" s="6" t="inlineStr"/>
      <c r="H57" s="6" t="inlineStr">
        <is>
          <t>Meritorious Unit Commendations</t>
        </is>
      </c>
      <c r="I57" s="2" t="inlineStr">
        <is>
          <t>https://en.wikipedia.org/wiki/Awards_and_decorations_of_the_United_States_Armed_Forces</t>
        </is>
      </c>
    </row>
    <row r="58" ht="44" customHeight="1">
      <c r="A58" s="4" t="inlineStr">
        <is>
          <t>Currently issued</t>
        </is>
      </c>
      <c r="B58" s="4" t="inlineStr">
        <is>
          <t>Efficiency awards</t>
        </is>
      </c>
      <c r="C58" s="9" t="n">
        <v>57</v>
      </c>
      <c r="D58" s="10" t="inlineStr">
        <is>
          <t>Navy "E" Ribbon</t>
        </is>
      </c>
      <c r="E58" s="5">
        <f>IFERROR(IFERROR(IMAGE("https://commons.wikimedia.org/wiki/Special:FilePath/Navy_E_Ribbon_ribbon.svg?width=110"),IFERROR(IMAGE("https://commons.wikimedia.org/wiki/Special:FilePath/Navy_E_Ribbon_ribbon.png?width=110"),IFERROR(IMAGE("https://commons.wikimedia.org/wiki/Special:FilePath/Navy_E_Ribbon.svg?width=110"),IMAGE("https://commons.wikimedia.org/wiki/Special:FilePath/Navy_E_Ribbon.png?width=110")))),"")</f>
        <v/>
      </c>
      <c r="F58" s="11" t="inlineStr">
        <is>
          <t>https://commons.wikimedia.org/wiki/Special:FilePath/Navy_E_Ribbon_ribbon.svg?width=110</t>
        </is>
      </c>
      <c r="G58" s="4" t="inlineStr"/>
      <c r="H58" s="4" t="inlineStr"/>
      <c r="I58" s="2" t="inlineStr">
        <is>
          <t>https://en.wikipedia.org/wiki/Awards_and_decorations_of_the_United_States_Armed_Forces</t>
        </is>
      </c>
    </row>
    <row r="59" ht="44" customHeight="1">
      <c r="A59" s="6" t="inlineStr">
        <is>
          <t>Currently issued</t>
        </is>
      </c>
      <c r="B59" s="6" t="inlineStr">
        <is>
          <t>Efficiency awards</t>
        </is>
      </c>
      <c r="C59" s="9" t="n">
        <v>58</v>
      </c>
      <c r="D59" s="12" t="inlineStr">
        <is>
          <t>Air and Space Organizational Excellence Award</t>
        </is>
      </c>
      <c r="E59" s="7">
        <f>IFERROR(IFERROR(IMAGE("https://commons.wikimedia.org/wiki/Special:FilePath/Air_and_Space_Organizational_Excellence_Award_ribbon.svg?width=110"),IFERROR(IMAGE("https://commons.wikimedia.org/wiki/Special:FilePath/Air_and_Space_Organizational_Excellence_Award_ribbon.png?width=110"),IFERROR(IMAGE("https://commons.wikimedia.org/wiki/Special:FilePath/Air_and_Space_Organizational_Excellence_Award.svg?width=110"),IMAGE("https://commons.wikimedia.org/wiki/Special:FilePath/Air_and_Space_Organizational_Excellence_Award.png?width=110")))),"")</f>
        <v/>
      </c>
      <c r="F59" s="11" t="inlineStr">
        <is>
          <t>https://commons.wikimedia.org/wiki/Special:FilePath/Air_and_Space_Organizational_Excellence_Award_ribbon.svg?width=110</t>
        </is>
      </c>
      <c r="G59" s="6" t="inlineStr"/>
      <c r="H59" s="6" t="inlineStr"/>
      <c r="I59" s="2" t="inlineStr">
        <is>
          <t>https://en.wikipedia.org/wiki/Awards_and_decorations_of_the_United_States_Armed_Forces</t>
        </is>
      </c>
    </row>
    <row r="60" ht="44" customHeight="1">
      <c r="A60" s="4" t="inlineStr">
        <is>
          <t>Currently issued</t>
        </is>
      </c>
      <c r="B60" s="4" t="inlineStr">
        <is>
          <t>Efficiency awards</t>
        </is>
      </c>
      <c r="C60" s="9" t="n">
        <v>59</v>
      </c>
      <c r="D60" s="10" t="inlineStr">
        <is>
          <t>Coast Guard "E" Ribbon</t>
        </is>
      </c>
      <c r="E60" s="5">
        <f>IFERROR(IFERROR(IMAGE("https://commons.wikimedia.org/wiki/Special:FilePath/Coast_Guard_E_Ribbon_ribbon.svg?width=110"),IFERROR(IMAGE("https://commons.wikimedia.org/wiki/Special:FilePath/Coast_Guard_E_Ribbon_ribbon.png?width=110"),IFERROR(IMAGE("https://commons.wikimedia.org/wiki/Special:FilePath/Coast_Guard_E_Ribbon.svg?width=110"),IMAGE("https://commons.wikimedia.org/wiki/Special:FilePath/Coast_Guard_E_Ribbon.png?width=110")))),"")</f>
        <v/>
      </c>
      <c r="F60" s="11" t="inlineStr">
        <is>
          <t>https://commons.wikimedia.org/wiki/Special:FilePath/Coast_Guard_E_Ribbon_ribbon.svg?width=110</t>
        </is>
      </c>
      <c r="G60" s="4" t="inlineStr"/>
      <c r="H60" s="4" t="inlineStr"/>
      <c r="I60" s="2" t="inlineStr">
        <is>
          <t>https://en.wikipedia.org/wiki/Awards_and_decorations_of_the_United_States_Armed_Forces</t>
        </is>
      </c>
    </row>
    <row r="61" ht="44" customHeight="1">
      <c r="A61" s="6" t="inlineStr">
        <is>
          <t>Currently issued</t>
        </is>
      </c>
      <c r="B61" s="6" t="inlineStr">
        <is>
          <t>Service awards</t>
        </is>
      </c>
      <c r="C61" s="9" t="n">
        <v>60</v>
      </c>
      <c r="D61" s="12" t="inlineStr">
        <is>
          <t>Prisoner of War Medal</t>
        </is>
      </c>
      <c r="E61" s="7">
        <f>IFERROR(IFERROR(IMAGE("https://commons.wikimedia.org/wiki/Special:FilePath/Prisoner_of_War_Medal_ribbon.svg?width=110"),IFERROR(IMAGE("https://commons.wikimedia.org/wiki/Special:FilePath/Prisoner_of_War_Medal_ribbon.png?width=110"),IFERROR(IMAGE("https://commons.wikimedia.org/wiki/Special:FilePath/Prisoner_of_War_Medal.svg?width=110"),IMAGE("https://commons.wikimedia.org/wiki/Special:FilePath/Prisoner_of_War_Medal.png?width=110")))),"")</f>
        <v/>
      </c>
      <c r="F61" s="11" t="inlineStr">
        <is>
          <t>https://commons.wikimedia.org/wiki/Special:FilePath/Prisoner_of_War_Medal_ribbon.svg?width=110</t>
        </is>
      </c>
      <c r="G61" s="6" t="inlineStr"/>
      <c r="H61" s="6" t="inlineStr"/>
      <c r="I61" s="2" t="inlineStr">
        <is>
          <t>https://en.wikipedia.org/wiki/Awards_and_decorations_of_the_United_States_Armed_Forces</t>
        </is>
      </c>
    </row>
    <row r="62" ht="44" customHeight="1">
      <c r="A62" s="4" t="inlineStr">
        <is>
          <t>Currently issued</t>
        </is>
      </c>
      <c r="B62" s="4" t="inlineStr">
        <is>
          <t>Service awards</t>
        </is>
      </c>
      <c r="C62" s="9" t="n">
        <v>61</v>
      </c>
      <c r="D62" s="10" t="inlineStr">
        <is>
          <t>Combat Readiness Medal</t>
        </is>
      </c>
      <c r="E62" s="5">
        <f>IFERROR(IFERROR(IMAGE("https://commons.wikimedia.org/wiki/Special:FilePath/Air_and_Space_Forces_Combat_Readiness_Medal_ribbon.svg?width=110"),IFERROR(IMAGE("https://commons.wikimedia.org/wiki/Special:FilePath/Air_and_Space_Forces_Combat_Readiness_Medal_ribbon.png?width=110"),IFERROR(IMAGE("https://commons.wikimedia.org/wiki/Special:FilePath/Combat_Readiness_Medal_Air_and_Space_Forces_ribbon.svg?width=110"),IFERROR(IMAGE("https://commons.wikimedia.org/wiki/Special:FilePath/Combat_Readiness_Medal_Air_and_Space_Forces_ribbon.png?width=110"),IFERROR(IMAGE("https://commons.wikimedia.org/wiki/Special:FilePath/Combat_Readiness_Medal_Air_and_Space_Forces.svg?width=110"),IFERROR(IMAGE("https://commons.wikimedia.org/wiki/Special:FilePath/Combat_Readiness_Medal_Air_and_Space_Forces.png?width=110"),IFERROR(IMAGE("https://commons.wikimedia.org/wiki/Special:FilePath/Combat_Readiness_Medal_ribbon.svg?width=110"),IMAGE("https://commons.wikimedia.org/wiki/Special:FilePath/Combat_Readiness_Medal_ribbon.png?width=110")))))))),"")</f>
        <v/>
      </c>
      <c r="F62" s="11" t="inlineStr">
        <is>
          <t>https://commons.wikimedia.org/wiki/Special:FilePath/Air_and_Space_Forces_Combat_Readiness_Medal_ribbon.svg?width=110</t>
        </is>
      </c>
      <c r="G62" s="4" t="inlineStr">
        <is>
          <t>Air and Space Forces</t>
        </is>
      </c>
      <c r="H62" s="4" t="inlineStr"/>
      <c r="I62" s="2" t="inlineStr">
        <is>
          <t>https://en.wikipedia.org/wiki/Awards_and_decorations_of_the_United_States_Armed_Forces</t>
        </is>
      </c>
    </row>
    <row r="63" ht="44" customHeight="1">
      <c r="A63" s="6" t="inlineStr">
        <is>
          <t>Currently issued</t>
        </is>
      </c>
      <c r="B63" s="6" t="inlineStr">
        <is>
          <t>Good conduct medals</t>
        </is>
      </c>
      <c r="C63" s="9" t="n">
        <v>62</v>
      </c>
      <c r="D63" s="12" t="inlineStr">
        <is>
          <t>Army Good Conduct Medal</t>
        </is>
      </c>
      <c r="E63" s="7">
        <f>IFERROR(IFERROR(IMAGE("https://commons.wikimedia.org/wiki/Special:FilePath/Army_Good_Conduct_Medal_ribbon.svg?width=110"),IFERROR(IMAGE("https://commons.wikimedia.org/wiki/Special:FilePath/Army_Good_Conduct_Medal_ribbon.png?width=110"),IFERROR(IMAGE("https://commons.wikimedia.org/wiki/Special:FilePath/Army_Good_Conduct_Medal.svg?width=110"),IMAGE("https://commons.wikimedia.org/wiki/Special:FilePath/Army_Good_Conduct_Medal.png?width=110")))),"")</f>
        <v/>
      </c>
      <c r="F63" s="11" t="inlineStr">
        <is>
          <t>https://commons.wikimedia.org/wiki/Special:FilePath/Army_Good_Conduct_Medal_ribbon.svg?width=110</t>
        </is>
      </c>
      <c r="G63" s="6" t="inlineStr"/>
      <c r="H63" s="6" t="inlineStr"/>
      <c r="I63" s="2" t="inlineStr">
        <is>
          <t>https://en.wikipedia.org/wiki/Awards_and_decorations_of_the_United_States_Armed_Forces</t>
        </is>
      </c>
    </row>
    <row r="64" ht="44" customHeight="1">
      <c r="A64" s="4" t="inlineStr">
        <is>
          <t>Currently issued</t>
        </is>
      </c>
      <c r="B64" s="4" t="inlineStr">
        <is>
          <t>Good conduct medals</t>
        </is>
      </c>
      <c r="C64" s="9" t="n">
        <v>63</v>
      </c>
      <c r="D64" s="10" t="inlineStr">
        <is>
          <t>Navy Good Conduct Medal</t>
        </is>
      </c>
      <c r="E64" s="5">
        <f>IFERROR(IFERROR(IMAGE("https://commons.wikimedia.org/wiki/Special:FilePath/Navy_Good_Conduct_Medal_ribbon.svg?width=110"),IFERROR(IMAGE("https://commons.wikimedia.org/wiki/Special:FilePath/Navy_Good_Conduct_Medal_ribbon.png?width=110"),IFERROR(IMAGE("https://commons.wikimedia.org/wiki/Special:FilePath/Navy_Good_Conduct_Medal.svg?width=110"),IMAGE("https://commons.wikimedia.org/wiki/Special:FilePath/Navy_Good_Conduct_Medal.png?width=110")))),"")</f>
        <v/>
      </c>
      <c r="F64" s="11" t="inlineStr">
        <is>
          <t>https://commons.wikimedia.org/wiki/Special:FilePath/Navy_Good_Conduct_Medal_ribbon.svg?width=110</t>
        </is>
      </c>
      <c r="G64" s="4" t="inlineStr"/>
      <c r="H64" s="4" t="inlineStr"/>
      <c r="I64" s="2" t="inlineStr">
        <is>
          <t>https://en.wikipedia.org/wiki/Awards_and_decorations_of_the_United_States_Armed_Forces</t>
        </is>
      </c>
    </row>
    <row r="65" ht="44" customHeight="1">
      <c r="A65" s="6" t="inlineStr">
        <is>
          <t>Currently issued</t>
        </is>
      </c>
      <c r="B65" s="6" t="inlineStr">
        <is>
          <t>Good conduct medals</t>
        </is>
      </c>
      <c r="C65" s="9" t="n">
        <v>64</v>
      </c>
      <c r="D65" s="12" t="inlineStr">
        <is>
          <t>Air Force Good Conduct Medal</t>
        </is>
      </c>
      <c r="E65" s="7">
        <f>IFERROR(IFERROR(IMAGE("https://commons.wikimedia.org/wiki/Special:FilePath/Air_Force_Good_Conduct_Medal_ribbon.svg?width=110"),IFERROR(IMAGE("https://commons.wikimedia.org/wiki/Special:FilePath/Air_Force_Good_Conduct_Medal_ribbon.png?width=110"),IFERROR(IMAGE("https://commons.wikimedia.org/wiki/Special:FilePath/Air_Force_Good_Conduct_Medal.svg?width=110"),IMAGE("https://commons.wikimedia.org/wiki/Special:FilePath/Air_Force_Good_Conduct_Medal.png?width=110")))),"")</f>
        <v/>
      </c>
      <c r="F65" s="11" t="inlineStr">
        <is>
          <t>https://commons.wikimedia.org/wiki/Special:FilePath/Air_Force_Good_Conduct_Medal_ribbon.svg?width=110</t>
        </is>
      </c>
      <c r="G65" s="6" t="inlineStr"/>
      <c r="H65" s="6" t="inlineStr"/>
      <c r="I65" s="2" t="inlineStr">
        <is>
          <t>https://en.wikipedia.org/wiki/Awards_and_decorations_of_the_United_States_Armed_Forces</t>
        </is>
      </c>
    </row>
    <row r="66" ht="44" customHeight="1">
      <c r="A66" s="4" t="inlineStr">
        <is>
          <t>Currently issued</t>
        </is>
      </c>
      <c r="B66" s="4" t="inlineStr">
        <is>
          <t>Good conduct medals</t>
        </is>
      </c>
      <c r="C66" s="9" t="n">
        <v>65</v>
      </c>
      <c r="D66" s="10" t="inlineStr">
        <is>
          <t>Space Force Good Conduct Medal</t>
        </is>
      </c>
      <c r="E66" s="5">
        <f>IFERROR(IFERROR(IMAGE("https://commons.wikimedia.org/wiki/Special:FilePath/Space_Force_Good_Conduct_Medal_ribbon.svg?width=110"),IFERROR(IMAGE("https://commons.wikimedia.org/wiki/Special:FilePath/Space_Force_Good_Conduct_Medal_ribbon.png?width=110"),IFERROR(IMAGE("https://commons.wikimedia.org/wiki/Special:FilePath/Space_Force_Good_Conduct_Medal.svg?width=110"),IMAGE("https://commons.wikimedia.org/wiki/Special:FilePath/Space_Force_Good_Conduct_Medal.png?width=110")))),"")</f>
        <v/>
      </c>
      <c r="F66" s="11" t="inlineStr">
        <is>
          <t>https://commons.wikimedia.org/wiki/Special:FilePath/Space_Force_Good_Conduct_Medal_ribbon.svg?width=110</t>
        </is>
      </c>
      <c r="G66" s="4" t="inlineStr"/>
      <c r="H66" s="4" t="inlineStr"/>
      <c r="I66" s="2" t="inlineStr">
        <is>
          <t>https://en.wikipedia.org/wiki/Awards_and_decorations_of_the_United_States_Armed_Forces</t>
        </is>
      </c>
    </row>
    <row r="67" ht="44" customHeight="1">
      <c r="A67" s="6" t="inlineStr">
        <is>
          <t>Currently issued</t>
        </is>
      </c>
      <c r="B67" s="6" t="inlineStr">
        <is>
          <t>Good conduct medals</t>
        </is>
      </c>
      <c r="C67" s="9" t="n">
        <v>66</v>
      </c>
      <c r="D67" s="12" t="inlineStr">
        <is>
          <t>Marine Corps Good Conduct Medal</t>
        </is>
      </c>
      <c r="E67" s="7">
        <f>IFERROR(IFERROR(IMAGE("https://commons.wikimedia.org/wiki/Special:FilePath/Marine_Corps_Good_Conduct_Medal_ribbon.svg?width=110"),IFERROR(IMAGE("https://commons.wikimedia.org/wiki/Special:FilePath/Marine_Corps_Good_Conduct_Medal_ribbon.png?width=110"),IFERROR(IMAGE("https://commons.wikimedia.org/wiki/Special:FilePath/Marine_Corps_Good_Conduct_Medal.svg?width=110"),IMAGE("https://commons.wikimedia.org/wiki/Special:FilePath/Marine_Corps_Good_Conduct_Medal.png?width=110")))),"")</f>
        <v/>
      </c>
      <c r="F67" s="11" t="inlineStr">
        <is>
          <t>https://commons.wikimedia.org/wiki/Special:FilePath/Marine_Corps_Good_Conduct_Medal_ribbon.svg?width=110</t>
        </is>
      </c>
      <c r="G67" s="6" t="inlineStr"/>
      <c r="H67" s="6" t="inlineStr"/>
      <c r="I67" s="2" t="inlineStr">
        <is>
          <t>https://en.wikipedia.org/wiki/Awards_and_decorations_of_the_United_States_Armed_Forces</t>
        </is>
      </c>
    </row>
    <row r="68" ht="44" customHeight="1">
      <c r="A68" s="4" t="inlineStr">
        <is>
          <t>Currently issued</t>
        </is>
      </c>
      <c r="B68" s="4" t="inlineStr">
        <is>
          <t>Good conduct medals</t>
        </is>
      </c>
      <c r="C68" s="9" t="n">
        <v>67</v>
      </c>
      <c r="D68" s="10" t="inlineStr">
        <is>
          <t>Coast Guard Good Conduct Medal</t>
        </is>
      </c>
      <c r="E68" s="5">
        <f>IFERROR(IFERROR(IMAGE("https://commons.wikimedia.org/wiki/Special:FilePath/Coast_Guard_Good_Conduct_Medal_ribbon.svg?width=110"),IFERROR(IMAGE("https://commons.wikimedia.org/wiki/Special:FilePath/Coast_Guard_Good_Conduct_Medal_ribbon.png?width=110"),IFERROR(IMAGE("https://commons.wikimedia.org/wiki/Special:FilePath/Coast_Guard_Good_Conduct_Medal.svg?width=110"),IMAGE("https://commons.wikimedia.org/wiki/Special:FilePath/Coast_Guard_Good_Conduct_Medal.png?width=110")))),"")</f>
        <v/>
      </c>
      <c r="F68" s="11" t="inlineStr">
        <is>
          <t>https://commons.wikimedia.org/wiki/Special:FilePath/Coast_Guard_Good_Conduct_Medal_ribbon.svg?width=110</t>
        </is>
      </c>
      <c r="G68" s="4" t="inlineStr"/>
      <c r="H68" s="4" t="inlineStr"/>
      <c r="I68" s="2" t="inlineStr">
        <is>
          <t>https://en.wikipedia.org/wiki/Awards_and_decorations_of_the_United_States_Armed_Forces</t>
        </is>
      </c>
    </row>
    <row r="69" ht="44" customHeight="1">
      <c r="A69" s="6" t="inlineStr">
        <is>
          <t>Currently issued</t>
        </is>
      </c>
      <c r="B69" s="6" t="inlineStr">
        <is>
          <t>Good conduct medals</t>
        </is>
      </c>
      <c r="C69" s="9" t="n">
        <v>68</v>
      </c>
      <c r="D69" s="12" t="inlineStr">
        <is>
          <t>Outstanding Airman of the Year Ribbon</t>
        </is>
      </c>
      <c r="E69" s="7">
        <f>IFERROR(IFERROR(IMAGE("https://commons.wikimedia.org/wiki/Special:FilePath/Outstanding_Airman_of_the_Year_Ribbon_ribbon.svg?width=110"),IFERROR(IMAGE("https://commons.wikimedia.org/wiki/Special:FilePath/Outstanding_Airman_of_the_Year_Ribbon_ribbon.png?width=110"),IFERROR(IMAGE("https://commons.wikimedia.org/wiki/Special:FilePath/Outstanding_Airman_of_the_Year_Ribbon.svg?width=110"),IMAGE("https://commons.wikimedia.org/wiki/Special:FilePath/Outstanding_Airman_of_the_Year_Ribbon.png?width=110")))),"")</f>
        <v/>
      </c>
      <c r="F69" s="11" t="inlineStr">
        <is>
          <t>https://commons.wikimedia.org/wiki/Special:FilePath/Outstanding_Airman_of_the_Year_Ribbon_ribbon.svg?width=110</t>
        </is>
      </c>
      <c r="G69" s="6" t="inlineStr"/>
      <c r="H69" s="6" t="inlineStr"/>
      <c r="I69" s="2" t="inlineStr">
        <is>
          <t>https://en.wikipedia.org/wiki/Awards_and_decorations_of_the_United_States_Armed_Forces</t>
        </is>
      </c>
    </row>
    <row r="70" ht="44" customHeight="1">
      <c r="A70" s="4" t="inlineStr">
        <is>
          <t>Currently issued</t>
        </is>
      </c>
      <c r="B70" s="4" t="inlineStr">
        <is>
          <t>Good conduct medals</t>
        </is>
      </c>
      <c r="C70" s="9" t="n">
        <v>69</v>
      </c>
      <c r="D70" s="10" t="inlineStr">
        <is>
          <t>Outstanding Guardian of the Year Ribbon</t>
        </is>
      </c>
      <c r="E70" s="5">
        <f>IFERROR(IFERROR(IMAGE("https://commons.wikimedia.org/wiki/Special:FilePath/Outstanding_Guardian_of_the_Year_Ribbon_ribbon.svg?width=110"),IFERROR(IMAGE("https://commons.wikimedia.org/wiki/Special:FilePath/Outstanding_Guardian_of_the_Year_Ribbon_ribbon.png?width=110"),IFERROR(IMAGE("https://commons.wikimedia.org/wiki/Special:FilePath/Outstanding_Guardian_of_the_Year_Ribbon.svg?width=110"),IMAGE("https://commons.wikimedia.org/wiki/Special:FilePath/Outstanding_Guardian_of_the_Year_Ribbon.png?width=110")))),"")</f>
        <v/>
      </c>
      <c r="F70" s="11" t="inlineStr">
        <is>
          <t>https://commons.wikimedia.org/wiki/Special:FilePath/Outstanding_Guardian_of_the_Year_Ribbon_ribbon.svg?width=110</t>
        </is>
      </c>
      <c r="G70" s="4" t="inlineStr"/>
      <c r="H70" s="4" t="inlineStr"/>
      <c r="I70" s="2" t="inlineStr">
        <is>
          <t>https://en.wikipedia.org/wiki/Awards_and_decorations_of_the_United_States_Armed_Forces</t>
        </is>
      </c>
    </row>
    <row r="71" ht="44" customHeight="1">
      <c r="A71" s="6" t="inlineStr">
        <is>
          <t>Currently issued</t>
        </is>
      </c>
      <c r="B71" s="6" t="inlineStr">
        <is>
          <t>Good conduct medals</t>
        </is>
      </c>
      <c r="C71" s="9" t="n">
        <v>70</v>
      </c>
      <c r="D71" s="12" t="inlineStr">
        <is>
          <t>Coast Guard Enlisted Person of the Year Ribbon</t>
        </is>
      </c>
      <c r="E71" s="7">
        <f>IFERROR(IFERROR(IMAGE("https://commons.wikimedia.org/wiki/Special:FilePath/Coast_Guard_Enlisted_Person_of_the_Year_Ribbon_ribbon.svg?width=110"),IFERROR(IMAGE("https://commons.wikimedia.org/wiki/Special:FilePath/Coast_Guard_Enlisted_Person_of_the_Year_Ribbon_ribbon.png?width=110"),IFERROR(IMAGE("https://commons.wikimedia.org/wiki/Special:FilePath/Coast_Guard_Enlisted_Person_of_the_Year_Ribbon.svg?width=110"),IMAGE("https://commons.wikimedia.org/wiki/Special:FilePath/Coast_Guard_Enlisted_Person_of_the_Year_Ribbon.png?width=110")))),"")</f>
        <v/>
      </c>
      <c r="F71" s="11" t="inlineStr">
        <is>
          <t>https://commons.wikimedia.org/wiki/Special:FilePath/Coast_Guard_Enlisted_Person_of_the_Year_Ribbon_ribbon.svg?width=110</t>
        </is>
      </c>
      <c r="G71" s="6" t="inlineStr"/>
      <c r="H71" s="6" t="inlineStr"/>
      <c r="I71" s="2" t="inlineStr">
        <is>
          <t>https://en.wikipedia.org/wiki/Awards_and_decorations_of_the_United_States_Armed_Forces</t>
        </is>
      </c>
    </row>
    <row r="72" ht="44" customHeight="1">
      <c r="A72" s="4" t="inlineStr">
        <is>
          <t>Currently issued</t>
        </is>
      </c>
      <c r="B72" s="4" t="inlineStr">
        <is>
          <t>Good conduct medals</t>
        </is>
      </c>
      <c r="C72" s="9" t="n">
        <v>71</v>
      </c>
      <c r="D72" s="10" t="inlineStr">
        <is>
          <t>Air and Space Recognition Ribbon</t>
        </is>
      </c>
      <c r="E72" s="5">
        <f>IFERROR(IFERROR(IMAGE("https://commons.wikimedia.org/wiki/Special:FilePath/Air_and_Space_Recognition_Ribbon_ribbon.svg?width=110"),IFERROR(IMAGE("https://commons.wikimedia.org/wiki/Special:FilePath/Air_and_Space_Recognition_Ribbon_ribbon.png?width=110"),IFERROR(IMAGE("https://commons.wikimedia.org/wiki/Special:FilePath/Air_and_Space_Recognition_Ribbon.svg?width=110"),IMAGE("https://commons.wikimedia.org/wiki/Special:FilePath/Air_and_Space_Recognition_Ribbon.png?width=110")))),"")</f>
        <v/>
      </c>
      <c r="F72" s="11" t="inlineStr">
        <is>
          <t>https://commons.wikimedia.org/wiki/Special:FilePath/Air_and_Space_Recognition_Ribbon_ribbon.svg?width=110</t>
        </is>
      </c>
      <c r="G72" s="4" t="inlineStr"/>
      <c r="H72" s="4" t="inlineStr"/>
      <c r="I72" s="2" t="inlineStr">
        <is>
          <t>https://en.wikipedia.org/wiki/Awards_and_decorations_of_the_United_States_Armed_Forces</t>
        </is>
      </c>
    </row>
    <row r="73" ht="44" customHeight="1">
      <c r="A73" s="6" t="inlineStr">
        <is>
          <t>Currently issued</t>
        </is>
      </c>
      <c r="B73" s="6" t="inlineStr">
        <is>
          <t>Service, expeditionary and campaign medals</t>
        </is>
      </c>
      <c r="C73" s="9" t="n">
        <v>72</v>
      </c>
      <c r="D73" s="12" t="inlineStr">
        <is>
          <t>Army Reserve Components Achievement Medal</t>
        </is>
      </c>
      <c r="E73" s="7">
        <f>IFERROR(IFERROR(IMAGE("https://commons.wikimedia.org/wiki/Special:FilePath/Army_Reserve_Components_Achievement_Medal_ribbon.svg?width=110"),IFERROR(IMAGE("https://commons.wikimedia.org/wiki/Special:FilePath/Army_Reserve_Components_Achievement_Medal_ribbon.png?width=110"),IFERROR(IMAGE("https://commons.wikimedia.org/wiki/Special:FilePath/Army_Reserve_Components_Achievement_Medal.svg?width=110"),IMAGE("https://commons.wikimedia.org/wiki/Special:FilePath/Army_Reserve_Components_Achievement_Medal.png?width=110")))),"")</f>
        <v/>
      </c>
      <c r="F73" s="11" t="inlineStr">
        <is>
          <t>https://commons.wikimedia.org/wiki/Special:FilePath/Army_Reserve_Components_Achievement_Medal_ribbon.svg?width=110</t>
        </is>
      </c>
      <c r="G73" s="6" t="inlineStr"/>
      <c r="H73" s="6" t="inlineStr"/>
      <c r="I73" s="2" t="inlineStr">
        <is>
          <t>https://en.wikipedia.org/wiki/Awards_and_decorations_of_the_United_States_Armed_Forces</t>
        </is>
      </c>
    </row>
    <row r="74" ht="44" customHeight="1">
      <c r="A74" s="4" t="inlineStr">
        <is>
          <t>Currently issued</t>
        </is>
      </c>
      <c r="B74" s="4" t="inlineStr">
        <is>
          <t>Service, expeditionary and campaign medals</t>
        </is>
      </c>
      <c r="C74" s="9" t="n">
        <v>73</v>
      </c>
      <c r="D74" s="10" t="inlineStr">
        <is>
          <t>Air Reserve Forces Meritorious Service Medal</t>
        </is>
      </c>
      <c r="E74" s="5">
        <f>IFERROR(IFERROR(IMAGE("https://commons.wikimedia.org/wiki/Special:FilePath/Air_Reserve_Forces_Meritorious_Service_Medal_ribbon.svg?width=110"),IFERROR(IMAGE("https://commons.wikimedia.org/wiki/Special:FilePath/Air_Reserve_Forces_Meritorious_Service_Medal_ribbon.png?width=110"),IFERROR(IMAGE("https://commons.wikimedia.org/wiki/Special:FilePath/Air_Reserve_Forces_Meritorious_Service_Medal.svg?width=110"),IMAGE("https://commons.wikimedia.org/wiki/Special:FilePath/Air_Reserve_Forces_Meritorious_Service_Medal.png?width=110")))),"")</f>
        <v/>
      </c>
      <c r="F74" s="11" t="inlineStr">
        <is>
          <t>https://commons.wikimedia.org/wiki/Special:FilePath/Air_Reserve_Forces_Meritorious_Service_Medal_ribbon.svg?width=110</t>
        </is>
      </c>
      <c r="G74" s="4" t="inlineStr"/>
      <c r="H74" s="4" t="inlineStr"/>
      <c r="I74" s="2" t="inlineStr">
        <is>
          <t>https://en.wikipedia.org/wiki/Awards_and_decorations_of_the_United_States_Armed_Forces</t>
        </is>
      </c>
    </row>
    <row r="75" ht="44" customHeight="1">
      <c r="A75" s="6" t="inlineStr">
        <is>
          <t>Currently issued</t>
        </is>
      </c>
      <c r="B75" s="6" t="inlineStr">
        <is>
          <t>Service, expeditionary and campaign medals</t>
        </is>
      </c>
      <c r="C75" s="9" t="n">
        <v>74</v>
      </c>
      <c r="D75" s="12" t="inlineStr">
        <is>
          <t>Selected Marine Corps Reserve Medal</t>
        </is>
      </c>
      <c r="E75" s="7">
        <f>IFERROR(IFERROR(IMAGE("https://commons.wikimedia.org/wiki/Special:FilePath/Selected_Marine_Corps_Reserve_Medal_ribbon.svg?width=110"),IFERROR(IMAGE("https://commons.wikimedia.org/wiki/Special:FilePath/Selected_Marine_Corps_Reserve_Medal_ribbon.png?width=110"),IFERROR(IMAGE("https://commons.wikimedia.org/wiki/Special:FilePath/Selected_Marine_Corps_Reserve_Medal.svg?width=110"),IMAGE("https://commons.wikimedia.org/wiki/Special:FilePath/Selected_Marine_Corps_Reserve_Medal.png?width=110")))),"")</f>
        <v/>
      </c>
      <c r="F75" s="11" t="inlineStr">
        <is>
          <t>https://commons.wikimedia.org/wiki/Special:FilePath/Selected_Marine_Corps_Reserve_Medal_ribbon.svg?width=110</t>
        </is>
      </c>
      <c r="G75" s="6" t="inlineStr"/>
      <c r="H75" s="6" t="inlineStr"/>
      <c r="I75" s="2" t="inlineStr">
        <is>
          <t>https://en.wikipedia.org/wiki/Awards_and_decorations_of_the_United_States_Armed_Forces</t>
        </is>
      </c>
    </row>
    <row r="76" ht="44" customHeight="1">
      <c r="A76" s="4" t="inlineStr">
        <is>
          <t>Currently issued</t>
        </is>
      </c>
      <c r="B76" s="4" t="inlineStr">
        <is>
          <t>Service, expeditionary and campaign medals</t>
        </is>
      </c>
      <c r="C76" s="9" t="n">
        <v>75</v>
      </c>
      <c r="D76" s="10" t="inlineStr">
        <is>
          <t>Coast Guard Reserve Good Conduct Medal</t>
        </is>
      </c>
      <c r="E76" s="5">
        <f>IFERROR(IFERROR(IMAGE("https://commons.wikimedia.org/wiki/Special:FilePath/Coast_Guard_Reserve_Good_Conduct_Medal_ribbon.svg?width=110"),IFERROR(IMAGE("https://commons.wikimedia.org/wiki/Special:FilePath/Coast_Guard_Reserve_Good_Conduct_Medal_ribbon.png?width=110"),IFERROR(IMAGE("https://commons.wikimedia.org/wiki/Special:FilePath/Coast_Guard_Reserve_Good_Conduct_Medal.svg?width=110"),IMAGE("https://commons.wikimedia.org/wiki/Special:FilePath/Coast_Guard_Reserve_Good_Conduct_Medal.png?width=110")))),"")</f>
        <v/>
      </c>
      <c r="F76" s="11" t="inlineStr">
        <is>
          <t>https://commons.wikimedia.org/wiki/Special:FilePath/Coast_Guard_Reserve_Good_Conduct_Medal_ribbon.svg?width=110</t>
        </is>
      </c>
      <c r="G76" s="4" t="inlineStr"/>
      <c r="H76" s="4" t="inlineStr"/>
      <c r="I76" s="2" t="inlineStr">
        <is>
          <t>https://en.wikipedia.org/wiki/Awards_and_decorations_of_the_United_States_Armed_Forces</t>
        </is>
      </c>
    </row>
    <row r="77" ht="44" customHeight="1">
      <c r="A77" s="6" t="inlineStr">
        <is>
          <t>Currently issued</t>
        </is>
      </c>
      <c r="B77" s="6" t="inlineStr">
        <is>
          <t>Service, expeditionary and campaign medals</t>
        </is>
      </c>
      <c r="C77" s="9" t="n">
        <v>76</v>
      </c>
      <c r="D77" s="12" t="inlineStr">
        <is>
          <t>Armed Forces Reserve Medal</t>
        </is>
      </c>
      <c r="E77" s="7">
        <f>IFERROR(IFERROR(IMAGE("https://commons.wikimedia.org/wiki/Special:FilePath/Armed_Forces_Reserve_Medal_ribbon.svg?width=110"),IFERROR(IMAGE("https://commons.wikimedia.org/wiki/Special:FilePath/Armed_Forces_Reserve_Medal_ribbon.png?width=110"),IFERROR(IMAGE("https://commons.wikimedia.org/wiki/Special:FilePath/Armed_Forces_Reserve_Medal.svg?width=110"),IMAGE("https://commons.wikimedia.org/wiki/Special:FilePath/Armed_Forces_Reserve_Medal.png?width=110")))),"")</f>
        <v/>
      </c>
      <c r="F77" s="11" t="inlineStr">
        <is>
          <t>https://commons.wikimedia.org/wiki/Special:FilePath/Armed_Forces_Reserve_Medal_ribbon.svg?width=110</t>
        </is>
      </c>
      <c r="G77" s="6" t="inlineStr"/>
      <c r="H77" s="6" t="inlineStr"/>
      <c r="I77" s="2" t="inlineStr">
        <is>
          <t>https://en.wikipedia.org/wiki/Awards_and_decorations_of_the_United_States_Armed_Forces</t>
        </is>
      </c>
    </row>
    <row r="78" ht="44" customHeight="1">
      <c r="A78" s="4" t="inlineStr">
        <is>
          <t>Currently issued</t>
        </is>
      </c>
      <c r="B78" s="4" t="inlineStr">
        <is>
          <t>Service, expeditionary and campaign medals</t>
        </is>
      </c>
      <c r="C78" s="9" t="n">
        <v>77</v>
      </c>
      <c r="D78" s="10" t="inlineStr">
        <is>
          <t>Navy Expeditionary Medal</t>
        </is>
      </c>
      <c r="E78" s="5">
        <f>IFERROR(IFERROR(IMAGE("https://commons.wikimedia.org/wiki/Special:FilePath/Navy_Expeditionary_Medal_ribbon.svg?width=110"),IFERROR(IMAGE("https://commons.wikimedia.org/wiki/Special:FilePath/Navy_Expeditionary_Medal_ribbon.png?width=110"),IFERROR(IMAGE("https://commons.wikimedia.org/wiki/Special:FilePath/Navy_Expeditionary_Medal.svg?width=110"),IMAGE("https://commons.wikimedia.org/wiki/Special:FilePath/Navy_Expeditionary_Medal.png?width=110")))),"")</f>
        <v/>
      </c>
      <c r="F78" s="11" t="inlineStr">
        <is>
          <t>https://commons.wikimedia.org/wiki/Special:FilePath/Navy_Expeditionary_Medal_ribbon.svg?width=110</t>
        </is>
      </c>
      <c r="G78" s="4" t="inlineStr"/>
      <c r="H78" s="4" t="inlineStr"/>
      <c r="I78" s="2" t="inlineStr">
        <is>
          <t>https://en.wikipedia.org/wiki/Awards_and_decorations_of_the_United_States_Armed_Forces</t>
        </is>
      </c>
    </row>
    <row r="79" ht="44" customHeight="1">
      <c r="A79" s="6" t="inlineStr">
        <is>
          <t>Currently issued</t>
        </is>
      </c>
      <c r="B79" s="6" t="inlineStr">
        <is>
          <t>Service, expeditionary and campaign medals</t>
        </is>
      </c>
      <c r="C79" s="9" t="n">
        <v>78</v>
      </c>
      <c r="D79" s="12" t="inlineStr">
        <is>
          <t>Marine Corps Expeditionary Medal</t>
        </is>
      </c>
      <c r="E79" s="7">
        <f>IFERROR(IFERROR(IMAGE("https://commons.wikimedia.org/wiki/Special:FilePath/Marine_Corps_Expeditionary_Medal_ribbon.svg?width=110"),IFERROR(IMAGE("https://commons.wikimedia.org/wiki/Special:FilePath/Marine_Corps_Expeditionary_Medal_ribbon.png?width=110"),IFERROR(IMAGE("https://commons.wikimedia.org/wiki/Special:FilePath/Marine_Corps_Expeditionary_Medal.svg?width=110"),IMAGE("https://commons.wikimedia.org/wiki/Special:FilePath/Marine_Corps_Expeditionary_Medal.png?width=110")))),"")</f>
        <v/>
      </c>
      <c r="F79" s="11" t="inlineStr">
        <is>
          <t>https://commons.wikimedia.org/wiki/Special:FilePath/Marine_Corps_Expeditionary_Medal_ribbon.svg?width=110</t>
        </is>
      </c>
      <c r="G79" s="6" t="inlineStr"/>
      <c r="H79" s="6" t="inlineStr"/>
      <c r="I79" s="2" t="inlineStr">
        <is>
          <t>https://en.wikipedia.org/wiki/Awards_and_decorations_of_the_United_States_Armed_Forces</t>
        </is>
      </c>
    </row>
    <row r="80" ht="44" customHeight="1">
      <c r="A80" s="4" t="inlineStr">
        <is>
          <t>Currently issued</t>
        </is>
      </c>
      <c r="B80" s="4" t="inlineStr">
        <is>
          <t>Service, expeditionary and campaign medals</t>
        </is>
      </c>
      <c r="C80" s="9" t="n">
        <v>79</v>
      </c>
      <c r="D80" s="10" t="inlineStr">
        <is>
          <t>Antarctica Service Medal</t>
        </is>
      </c>
      <c r="E80" s="5">
        <f>IFERROR(IFERROR(IMAGE("https://commons.wikimedia.org/wiki/Special:FilePath/Antarctica_Service_Medal_ribbon.svg?width=110"),IFERROR(IMAGE("https://commons.wikimedia.org/wiki/Special:FilePath/Antarctica_Service_Medal_ribbon.png?width=110"),IFERROR(IMAGE("https://commons.wikimedia.org/wiki/Special:FilePath/Antarctica_Service_Medal.svg?width=110"),IMAGE("https://commons.wikimedia.org/wiki/Special:FilePath/Antarctica_Service_Medal.png?width=110")))),"")</f>
        <v/>
      </c>
      <c r="F80" s="11" t="inlineStr">
        <is>
          <t>https://commons.wikimedia.org/wiki/Special:FilePath/Antarctica_Service_Medal_ribbon.svg?width=110</t>
        </is>
      </c>
      <c r="G80" s="4" t="inlineStr"/>
      <c r="H80" s="4" t="inlineStr"/>
      <c r="I80" s="2" t="inlineStr">
        <is>
          <t>https://en.wikipedia.org/wiki/Awards_and_decorations_of_the_United_States_Armed_Forces</t>
        </is>
      </c>
    </row>
    <row r="81" ht="44" customHeight="1">
      <c r="A81" s="6" t="inlineStr">
        <is>
          <t>Currently issued</t>
        </is>
      </c>
      <c r="B81" s="6" t="inlineStr">
        <is>
          <t>Service, expeditionary and campaign medals</t>
        </is>
      </c>
      <c r="C81" s="9" t="n">
        <v>80</v>
      </c>
      <c r="D81" s="12" t="inlineStr">
        <is>
          <t>Coast Guard Arctic Service Medal</t>
        </is>
      </c>
      <c r="E81" s="7">
        <f>IFERROR(IFERROR(IMAGE("https://commons.wikimedia.org/wiki/Special:FilePath/Coast_Guard_Arctic_Service_Medal_ribbon.svg?width=110"),IFERROR(IMAGE("https://commons.wikimedia.org/wiki/Special:FilePath/Coast_Guard_Arctic_Service_Medal_ribbon.png?width=110"),IFERROR(IMAGE("https://commons.wikimedia.org/wiki/Special:FilePath/Coast_Guard_Arctic_Service_Medal.svg?width=110"),IMAGE("https://commons.wikimedia.org/wiki/Special:FilePath/Coast_Guard_Arctic_Service_Medal.png?width=110")))),"")</f>
        <v/>
      </c>
      <c r="F81" s="11" t="inlineStr">
        <is>
          <t>https://commons.wikimedia.org/wiki/Special:FilePath/Coast_Guard_Arctic_Service_Medal_ribbon.svg?width=110</t>
        </is>
      </c>
      <c r="G81" s="6" t="inlineStr"/>
      <c r="H81" s="6" t="inlineStr"/>
      <c r="I81" s="2" t="inlineStr">
        <is>
          <t>https://en.wikipedia.org/wiki/Awards_and_decorations_of_the_United_States_Armed_Forces</t>
        </is>
      </c>
    </row>
    <row r="82" ht="44" customHeight="1">
      <c r="A82" s="4" t="inlineStr">
        <is>
          <t>Currently issued</t>
        </is>
      </c>
      <c r="B82" s="4" t="inlineStr">
        <is>
          <t>Service, expeditionary and campaign medals</t>
        </is>
      </c>
      <c r="C82" s="9" t="n">
        <v>81</v>
      </c>
      <c r="D82" s="10" t="inlineStr">
        <is>
          <t>Armed Forces Expeditionary Medal</t>
        </is>
      </c>
      <c r="E82" s="5">
        <f>IFERROR(IFERROR(IMAGE("https://commons.wikimedia.org/wiki/Special:FilePath/Armed_Forces_Expeditionary_Medal_ribbon.svg?width=110"),IFERROR(IMAGE("https://commons.wikimedia.org/wiki/Special:FilePath/Armed_Forces_Expeditionary_Medal_ribbon.png?width=110"),IFERROR(IMAGE("https://commons.wikimedia.org/wiki/Special:FilePath/Armed_Forces_Expeditionary_Medal.svg?width=110"),IMAGE("https://commons.wikimedia.org/wiki/Special:FilePath/Armed_Forces_Expeditionary_Medal.png?width=110")))),"")</f>
        <v/>
      </c>
      <c r="F82" s="11" t="inlineStr">
        <is>
          <t>https://commons.wikimedia.org/wiki/Special:FilePath/Armed_Forces_Expeditionary_Medal_ribbon.svg?width=110</t>
        </is>
      </c>
      <c r="G82" s="4" t="inlineStr"/>
      <c r="H82" s="4" t="inlineStr"/>
      <c r="I82" s="2" t="inlineStr">
        <is>
          <t>https://en.wikipedia.org/wiki/Awards_and_decorations_of_the_United_States_Armed_Forces</t>
        </is>
      </c>
    </row>
    <row r="83" ht="44" customHeight="1">
      <c r="A83" s="6" t="inlineStr">
        <is>
          <t>Currently issued</t>
        </is>
      </c>
      <c r="B83" s="6" t="inlineStr">
        <is>
          <t>Service, expeditionary and campaign medals</t>
        </is>
      </c>
      <c r="C83" s="9" t="n">
        <v>82</v>
      </c>
      <c r="D83" s="12" t="inlineStr">
        <is>
          <t>Inherent Resolve Campaign Medal</t>
        </is>
      </c>
      <c r="E83" s="7">
        <f>IFERROR(IFERROR(IMAGE("https://commons.wikimedia.org/wiki/Special:FilePath/Inherent_Resolve_Campaign_Medal_ribbon.svg?width=110"),IFERROR(IMAGE("https://commons.wikimedia.org/wiki/Special:FilePath/Inherent_Resolve_Campaign_Medal_ribbon.png?width=110"),IFERROR(IMAGE("https://commons.wikimedia.org/wiki/Special:FilePath/Inherent_Resolve_Campaign_Medal.svg?width=110"),IMAGE("https://commons.wikimedia.org/wiki/Special:FilePath/Inherent_Resolve_Campaign_Medal.png?width=110")))),"")</f>
        <v/>
      </c>
      <c r="F83" s="11" t="inlineStr">
        <is>
          <t>https://commons.wikimedia.org/wiki/Special:FilePath/Inherent_Resolve_Campaign_Medal_ribbon.svg?width=110</t>
        </is>
      </c>
      <c r="G83" s="6" t="inlineStr"/>
      <c r="H83" s="6" t="inlineStr"/>
      <c r="I83" s="2" t="inlineStr">
        <is>
          <t>https://en.wikipedia.org/wiki/Awards_and_decorations_of_the_United_States_Armed_Forces</t>
        </is>
      </c>
    </row>
    <row r="84" ht="44" customHeight="1">
      <c r="A84" s="4" t="inlineStr">
        <is>
          <t>Currently issued</t>
        </is>
      </c>
      <c r="B84" s="4" t="inlineStr">
        <is>
          <t>Service, expeditionary and campaign medals</t>
        </is>
      </c>
      <c r="C84" s="9" t="n">
        <v>83</v>
      </c>
      <c r="D84" s="10" t="inlineStr">
        <is>
          <t>Global War on Terrorism Expeditionary Medal</t>
        </is>
      </c>
      <c r="E84" s="5">
        <f>IFERROR(IFERROR(IMAGE("https://commons.wikimedia.org/wiki/Special:FilePath/Global_War_on_Terrorism_Expeditionary_Medal_ribbon.svg?width=110"),IFERROR(IMAGE("https://commons.wikimedia.org/wiki/Special:FilePath/Global_War_on_Terrorism_Expeditionary_Medal_ribbon.png?width=110"),IFERROR(IMAGE("https://commons.wikimedia.org/wiki/Special:FilePath/Global_War_on_Terrorism_Expeditionary_Medal.svg?width=110"),IMAGE("https://commons.wikimedia.org/wiki/Special:FilePath/Global_War_on_Terrorism_Expeditionary_Medal.png?width=110")))),"")</f>
        <v/>
      </c>
      <c r="F84" s="11" t="inlineStr">
        <is>
          <t>https://commons.wikimedia.org/wiki/Special:FilePath/Global_War_on_Terrorism_Expeditionary_Medal_ribbon.svg?width=110</t>
        </is>
      </c>
      <c r="G84" s="4" t="inlineStr"/>
      <c r="H84" s="4" t="inlineStr"/>
      <c r="I84" s="2" t="inlineStr">
        <is>
          <t>https://en.wikipedia.org/wiki/Awards_and_decorations_of_the_United_States_Armed_Forces</t>
        </is>
      </c>
    </row>
    <row r="85" ht="44" customHeight="1">
      <c r="A85" s="6" t="inlineStr">
        <is>
          <t>Currently issued</t>
        </is>
      </c>
      <c r="B85" s="6" t="inlineStr">
        <is>
          <t>Service, expeditionary and campaign medals</t>
        </is>
      </c>
      <c r="C85" s="9" t="n">
        <v>84</v>
      </c>
      <c r="D85" s="12" t="inlineStr">
        <is>
          <t>Global War on Terrorism Service Medal</t>
        </is>
      </c>
      <c r="E85" s="7">
        <f>IFERROR(IFERROR(IMAGE("https://commons.wikimedia.org/wiki/Special:FilePath/Global_War_on_Terrorism_Service_Medal_ribbon.svg?width=110"),IFERROR(IMAGE("https://commons.wikimedia.org/wiki/Special:FilePath/Global_War_on_Terrorism_Service_Medal_ribbon.png?width=110"),IFERROR(IMAGE("https://commons.wikimedia.org/wiki/Special:FilePath/Global_War_on_Terrorism_Service_Medal.svg?width=110"),IMAGE("https://commons.wikimedia.org/wiki/Special:FilePath/Global_War_on_Terrorism_Service_Medal.png?width=110")))),"")</f>
        <v/>
      </c>
      <c r="F85" s="11" t="inlineStr">
        <is>
          <t>https://commons.wikimedia.org/wiki/Special:FilePath/Global_War_on_Terrorism_Service_Medal_ribbon.svg?width=110</t>
        </is>
      </c>
      <c r="G85" s="6" t="inlineStr"/>
      <c r="H85" s="6" t="inlineStr"/>
      <c r="I85" s="2" t="inlineStr">
        <is>
          <t>https://en.wikipedia.org/wiki/Awards_and_decorations_of_the_United_States_Armed_Forces</t>
        </is>
      </c>
    </row>
    <row r="86" ht="44" customHeight="1">
      <c r="A86" s="4" t="inlineStr">
        <is>
          <t>Currently issued</t>
        </is>
      </c>
      <c r="B86" s="4" t="inlineStr">
        <is>
          <t>Service, expeditionary and campaign medals</t>
        </is>
      </c>
      <c r="C86" s="9" t="n">
        <v>85</v>
      </c>
      <c r="D86" s="10" t="inlineStr">
        <is>
          <t>Korea Defense Service Medal</t>
        </is>
      </c>
      <c r="E86" s="5">
        <f>IFERROR(IFERROR(IMAGE("https://commons.wikimedia.org/wiki/Special:FilePath/Korea_Defense_Service_Medal_ribbon.svg?width=110"),IFERROR(IMAGE("https://commons.wikimedia.org/wiki/Special:FilePath/Korea_Defense_Service_Medal_ribbon.png?width=110"),IFERROR(IMAGE("https://commons.wikimedia.org/wiki/Special:FilePath/Korea_Defense_Service_Medal.svg?width=110"),IMAGE("https://commons.wikimedia.org/wiki/Special:FilePath/Korea_Defense_Service_Medal.png?width=110")))),"")</f>
        <v/>
      </c>
      <c r="F86" s="11" t="inlineStr">
        <is>
          <t>https://commons.wikimedia.org/wiki/Special:FilePath/Korea_Defense_Service_Medal_ribbon.svg?width=110</t>
        </is>
      </c>
      <c r="G86" s="4" t="inlineStr"/>
      <c r="H86" s="4" t="inlineStr"/>
      <c r="I86" s="2" t="inlineStr">
        <is>
          <t>https://en.wikipedia.org/wiki/Awards_and_decorations_of_the_United_States_Armed_Forces</t>
        </is>
      </c>
    </row>
    <row r="87" ht="44" customHeight="1">
      <c r="A87" s="6" t="inlineStr">
        <is>
          <t>Currently issued</t>
        </is>
      </c>
      <c r="B87" s="6" t="inlineStr">
        <is>
          <t>Service, expeditionary and campaign medals</t>
        </is>
      </c>
      <c r="C87" s="9" t="n">
        <v>86</v>
      </c>
      <c r="D87" s="12" t="inlineStr">
        <is>
          <t>Mexican Border Defense Medal</t>
        </is>
      </c>
      <c r="E87" s="7">
        <f>IFERROR(IFERROR(IMAGE("https://commons.wikimedia.org/wiki/Special:FilePath/Mexican_Border_Defense_Medal_ribbon.svg?width=110"),IFERROR(IMAGE("https://commons.wikimedia.org/wiki/Special:FilePath/Mexican_Border_Defense_Medal_ribbon.png?width=110"),IFERROR(IMAGE("https://commons.wikimedia.org/wiki/Special:FilePath/Mexican_Border_Defense_Medal.svg?width=110"),IMAGE("https://commons.wikimedia.org/wiki/Special:FilePath/Mexican_Border_Defense_Medal.png?width=110")))),"")</f>
        <v/>
      </c>
      <c r="F87" s="11" t="inlineStr">
        <is>
          <t>https://commons.wikimedia.org/wiki/Special:FilePath/Mexican_Border_Defense_Medal_ribbon.svg?width=110</t>
        </is>
      </c>
      <c r="G87" s="6" t="inlineStr"/>
      <c r="H87" s="6" t="inlineStr"/>
      <c r="I87" s="2" t="inlineStr">
        <is>
          <t>https://en.wikipedia.org/wiki/Awards_and_decorations_of_the_United_States_Armed_Forces</t>
        </is>
      </c>
    </row>
    <row r="88" ht="44" customHeight="1">
      <c r="A88" s="4" t="inlineStr">
        <is>
          <t>Currently issued</t>
        </is>
      </c>
      <c r="B88" s="4" t="inlineStr">
        <is>
          <t>Service, expeditionary and campaign medals</t>
        </is>
      </c>
      <c r="C88" s="9" t="n">
        <v>87</v>
      </c>
      <c r="D88" s="10" t="inlineStr">
        <is>
          <t>Armed Forces Service Medal</t>
        </is>
      </c>
      <c r="E88" s="5">
        <f>IFERROR(IFERROR(IMAGE("https://commons.wikimedia.org/wiki/Special:FilePath/Armed_Forces_Service_Medal_ribbon.svg?width=110"),IFERROR(IMAGE("https://commons.wikimedia.org/wiki/Special:FilePath/Armed_Forces_Service_Medal_ribbon.png?width=110"),IFERROR(IMAGE("https://commons.wikimedia.org/wiki/Special:FilePath/Armed_Forces_Service_Medal.svg?width=110"),IMAGE("https://commons.wikimedia.org/wiki/Special:FilePath/Armed_Forces_Service_Medal.png?width=110")))),"")</f>
        <v/>
      </c>
      <c r="F88" s="11" t="inlineStr">
        <is>
          <t>https://commons.wikimedia.org/wiki/Special:FilePath/Armed_Forces_Service_Medal_ribbon.svg?width=110</t>
        </is>
      </c>
      <c r="G88" s="4" t="inlineStr"/>
      <c r="H88" s="4" t="inlineStr"/>
      <c r="I88" s="2" t="inlineStr">
        <is>
          <t>https://en.wikipedia.org/wiki/Awards_and_decorations_of_the_United_States_Armed_Forces</t>
        </is>
      </c>
    </row>
    <row r="89" ht="44" customHeight="1">
      <c r="A89" s="6" t="inlineStr">
        <is>
          <t>Currently issued</t>
        </is>
      </c>
      <c r="B89" s="6" t="inlineStr">
        <is>
          <t>Service, expeditionary and campaign medals</t>
        </is>
      </c>
      <c r="C89" s="9" t="n">
        <v>88</v>
      </c>
      <c r="D89" s="12" t="inlineStr">
        <is>
          <t>Humanitarian Service Medal</t>
        </is>
      </c>
      <c r="E89" s="7">
        <f>IFERROR(IFERROR(IMAGE("https://commons.wikimedia.org/wiki/Special:FilePath/Humanitarian_Service_Medal_ribbon.svg?width=110"),IFERROR(IMAGE("https://commons.wikimedia.org/wiki/Special:FilePath/Humanitarian_Service_Medal_ribbon.png?width=110"),IFERROR(IMAGE("https://commons.wikimedia.org/wiki/Special:FilePath/Humanitarian_Service_Medal.svg?width=110"),IMAGE("https://commons.wikimedia.org/wiki/Special:FilePath/Humanitarian_Service_Medal.png?width=110")))),"")</f>
        <v/>
      </c>
      <c r="F89" s="11" t="inlineStr">
        <is>
          <t>https://commons.wikimedia.org/wiki/Special:FilePath/Humanitarian_Service_Medal_ribbon.svg?width=110</t>
        </is>
      </c>
      <c r="G89" s="6" t="inlineStr"/>
      <c r="H89" s="6" t="inlineStr"/>
      <c r="I89" s="2" t="inlineStr">
        <is>
          <t>https://en.wikipedia.org/wiki/Awards_and_decorations_of_the_United_States_Armed_Forces</t>
        </is>
      </c>
    </row>
    <row r="90" ht="44" customHeight="1">
      <c r="A90" s="4" t="inlineStr">
        <is>
          <t>Currently issued</t>
        </is>
      </c>
      <c r="B90" s="4" t="inlineStr">
        <is>
          <t>Service, expeditionary and campaign medals</t>
        </is>
      </c>
      <c r="C90" s="9" t="n">
        <v>89</v>
      </c>
      <c r="D90" s="10" t="inlineStr">
        <is>
          <t>Military Outstanding Volunteer Service Medal</t>
        </is>
      </c>
      <c r="E90" s="5">
        <f>IFERROR(IFERROR(IMAGE("https://commons.wikimedia.org/wiki/Special:FilePath/Military_Outstanding_Volunteer_Service_Medal_ribbon.svg?width=110"),IFERROR(IMAGE("https://commons.wikimedia.org/wiki/Special:FilePath/Military_Outstanding_Volunteer_Service_Medal_ribbon.png?width=110"),IFERROR(IMAGE("https://commons.wikimedia.org/wiki/Special:FilePath/Military_Outstanding_Volunteer_Service_Medal.svg?width=110"),IMAGE("https://commons.wikimedia.org/wiki/Special:FilePath/Military_Outstanding_Volunteer_Service_Medal.png?width=110")))),"")</f>
        <v/>
      </c>
      <c r="F90" s="11" t="inlineStr">
        <is>
          <t>https://commons.wikimedia.org/wiki/Special:FilePath/Military_Outstanding_Volunteer_Service_Medal_ribbon.svg?width=110</t>
        </is>
      </c>
      <c r="G90" s="4" t="inlineStr"/>
      <c r="H90" s="4" t="inlineStr"/>
      <c r="I90" s="2" t="inlineStr">
        <is>
          <t>https://en.wikipedia.org/wiki/Awards_and_decorations_of_the_United_States_Armed_Forces</t>
        </is>
      </c>
    </row>
    <row r="91" ht="44" customHeight="1">
      <c r="A91" s="6" t="inlineStr">
        <is>
          <t>Currently issued</t>
        </is>
      </c>
      <c r="B91" s="6" t="inlineStr">
        <is>
          <t>Service, expeditionary and campaign medals</t>
        </is>
      </c>
      <c r="C91" s="9" t="n">
        <v>90</v>
      </c>
      <c r="D91" s="12" t="inlineStr">
        <is>
          <t>Remote Combat Effects Campaign Medal</t>
        </is>
      </c>
      <c r="E91" s="7">
        <f>IFERROR(IFERROR(IMAGE("https://commons.wikimedia.org/wiki/Special:FilePath/Remote_Combat_Effects_Campaign_Medal_ribbon.svg?width=110"),IFERROR(IMAGE("https://commons.wikimedia.org/wiki/Special:FilePath/Remote_Combat_Effects_Campaign_Medal_ribbon.png?width=110"),IFERROR(IMAGE("https://commons.wikimedia.org/wiki/Special:FilePath/Remote_Combat_Effects_Campaign_Medal.svg?width=110"),IMAGE("https://commons.wikimedia.org/wiki/Special:FilePath/Remote_Combat_Effects_Campaign_Medal.png?width=110")))),"")</f>
        <v/>
      </c>
      <c r="F91" s="11" t="inlineStr">
        <is>
          <t>https://commons.wikimedia.org/wiki/Special:FilePath/Remote_Combat_Effects_Campaign_Medal_ribbon.svg?width=110</t>
        </is>
      </c>
      <c r="G91" s="6" t="inlineStr"/>
      <c r="H91" s="6" t="inlineStr"/>
      <c r="I91" s="2" t="inlineStr">
        <is>
          <t>https://en.wikipedia.org/wiki/Awards_and_decorations_of_the_United_States_Armed_Forces</t>
        </is>
      </c>
    </row>
    <row r="92" ht="44" customHeight="1">
      <c r="A92" s="4" t="inlineStr">
        <is>
          <t>Currently issued</t>
        </is>
      </c>
      <c r="B92" s="4" t="inlineStr">
        <is>
          <t>Service, expeditionary and campaign medals</t>
        </is>
      </c>
      <c r="C92" s="9" t="n">
        <v>91</v>
      </c>
      <c r="D92" s="10" t="inlineStr">
        <is>
          <t>Air and Space Campaign Medal</t>
        </is>
      </c>
      <c r="E92" s="5">
        <f>IFERROR(IFERROR(IMAGE("https://commons.wikimedia.org/wiki/Special:FilePath/Air_and_Space_Campaign_Medal_ribbon.svg?width=110"),IFERROR(IMAGE("https://commons.wikimedia.org/wiki/Special:FilePath/Air_and_Space_Campaign_Medal_ribbon.png?width=110"),IFERROR(IMAGE("https://commons.wikimedia.org/wiki/Special:FilePath/Air_and_Space_Campaign_Medal.svg?width=110"),IMAGE("https://commons.wikimedia.org/wiki/Special:FilePath/Air_and_Space_Campaign_Medal.png?width=110")))),"")</f>
        <v/>
      </c>
      <c r="F92" s="11" t="inlineStr">
        <is>
          <t>https://commons.wikimedia.org/wiki/Special:FilePath/Air_and_Space_Campaign_Medal_ribbon.svg?width=110</t>
        </is>
      </c>
      <c r="G92" s="4" t="inlineStr"/>
      <c r="H92" s="4" t="inlineStr"/>
      <c r="I92" s="2" t="inlineStr">
        <is>
          <t>https://en.wikipedia.org/wiki/Awards_and_decorations_of_the_United_States_Armed_Forces</t>
        </is>
      </c>
    </row>
    <row r="93" ht="44" customHeight="1">
      <c r="A93" s="6" t="inlineStr">
        <is>
          <t>Currently issued</t>
        </is>
      </c>
      <c r="B93" s="6" t="inlineStr">
        <is>
          <t>Service, expeditionary and campaign medals</t>
        </is>
      </c>
      <c r="C93" s="9" t="n">
        <v>92</v>
      </c>
      <c r="D93" s="12" t="inlineStr">
        <is>
          <t>Nuclear Deterrence Operations Service Medal</t>
        </is>
      </c>
      <c r="E93" s="7">
        <f>IFERROR(IFERROR(IMAGE("https://commons.wikimedia.org/wiki/Special:FilePath/Nuclear_Deterrence_Operations_Service_Medal_ribbon.svg?width=110"),IFERROR(IMAGE("https://commons.wikimedia.org/wiki/Special:FilePath/Nuclear_Deterrence_Operations_Service_Medal_ribbon.png?width=110"),IFERROR(IMAGE("https://commons.wikimedia.org/wiki/Special:FilePath/Nuclear_Deterrence_Operations_Service_Medal.svg?width=110"),IMAGE("https://commons.wikimedia.org/wiki/Special:FilePath/Nuclear_Deterrence_Operations_Service_Medal.png?width=110")))),"")</f>
        <v/>
      </c>
      <c r="F93" s="11" t="inlineStr">
        <is>
          <t>https://commons.wikimedia.org/wiki/Special:FilePath/Nuclear_Deterrence_Operations_Service_Medal_ribbon.svg?width=110</t>
        </is>
      </c>
      <c r="G93" s="6" t="inlineStr"/>
      <c r="H93" s="6" t="inlineStr"/>
      <c r="I93" s="2" t="inlineStr">
        <is>
          <t>https://en.wikipedia.org/wiki/Awards_and_decorations_of_the_United_States_Armed_Forces</t>
        </is>
      </c>
    </row>
    <row r="94" ht="44" customHeight="1">
      <c r="A94" s="4" t="inlineStr">
        <is>
          <t>Currently issued</t>
        </is>
      </c>
      <c r="B94" s="4" t="inlineStr">
        <is>
          <t>Service and training awards</t>
        </is>
      </c>
      <c r="C94" s="9" t="n">
        <v>93</v>
      </c>
      <c r="D94" s="10" t="inlineStr">
        <is>
          <t>Army Sea Duty Ribbon</t>
        </is>
      </c>
      <c r="E94" s="5">
        <f>IFERROR(IFERROR(IMAGE("https://commons.wikimedia.org/wiki/Special:FilePath/Army_Sea_Duty_Ribbon_ribbon.svg?width=110"),IFERROR(IMAGE("https://commons.wikimedia.org/wiki/Special:FilePath/Army_Sea_Duty_Ribbon_ribbon.png?width=110"),IFERROR(IMAGE("https://commons.wikimedia.org/wiki/Special:FilePath/Army_Sea_Duty_Ribbon.svg?width=110"),IMAGE("https://commons.wikimedia.org/wiki/Special:FilePath/Army_Sea_Duty_Ribbon.png?width=110")))),"")</f>
        <v/>
      </c>
      <c r="F94" s="11" t="inlineStr">
        <is>
          <t>https://commons.wikimedia.org/wiki/Special:FilePath/Army_Sea_Duty_Ribbon_ribbon.svg?width=110</t>
        </is>
      </c>
      <c r="G94" s="4" t="inlineStr"/>
      <c r="H94" s="4" t="inlineStr"/>
      <c r="I94" s="2" t="inlineStr">
        <is>
          <t>https://en.wikipedia.org/wiki/Awards_and_decorations_of_the_United_States_Armed_Forces</t>
        </is>
      </c>
    </row>
    <row r="95" ht="44" customHeight="1">
      <c r="A95" s="6" t="inlineStr">
        <is>
          <t>Currently issued</t>
        </is>
      </c>
      <c r="B95" s="6" t="inlineStr">
        <is>
          <t>Service and training awards</t>
        </is>
      </c>
      <c r="C95" s="9" t="n">
        <v>94</v>
      </c>
      <c r="D95" s="12" t="inlineStr">
        <is>
          <t>Navy Sea Service Deployment Ribbon</t>
        </is>
      </c>
      <c r="E95" s="7">
        <f>IFERROR(IFERROR(IMAGE("https://commons.wikimedia.org/wiki/Special:FilePath/Navy_Sea_Service_Deployment_Ribbon_ribbon.svg?width=110"),IFERROR(IMAGE("https://commons.wikimedia.org/wiki/Special:FilePath/Navy_Sea_Service_Deployment_Ribbon_ribbon.png?width=110"),IFERROR(IMAGE("https://commons.wikimedia.org/wiki/Special:FilePath/Navy_Sea_Service_Deployment_Ribbon.svg?width=110"),IMAGE("https://commons.wikimedia.org/wiki/Special:FilePath/Navy_Sea_Service_Deployment_Ribbon.png?width=110")))),"")</f>
        <v/>
      </c>
      <c r="F95" s="11" t="inlineStr">
        <is>
          <t>https://commons.wikimedia.org/wiki/Special:FilePath/Navy_Sea_Service_Deployment_Ribbon_ribbon.svg?width=110</t>
        </is>
      </c>
      <c r="G95" s="6" t="inlineStr"/>
      <c r="H95" s="6" t="inlineStr"/>
      <c r="I95" s="2" t="inlineStr">
        <is>
          <t>https://en.wikipedia.org/wiki/Awards_and_decorations_of_the_United_States_Armed_Forces</t>
        </is>
      </c>
    </row>
    <row r="96" ht="44" customHeight="1">
      <c r="A96" s="4" t="inlineStr">
        <is>
          <t>Currently issued</t>
        </is>
      </c>
      <c r="B96" s="4" t="inlineStr">
        <is>
          <t>Service and training awards</t>
        </is>
      </c>
      <c r="C96" s="9" t="n">
        <v>95</v>
      </c>
      <c r="D96" s="10" t="inlineStr">
        <is>
          <t>Coast Guard Sea Service Ribbon</t>
        </is>
      </c>
      <c r="E96" s="5">
        <f>IFERROR(IFERROR(IMAGE("https://commons.wikimedia.org/wiki/Special:FilePath/Coast_Guard_Sea_Service_Ribbon_ribbon.svg?width=110"),IFERROR(IMAGE("https://commons.wikimedia.org/wiki/Special:FilePath/Coast_Guard_Sea_Service_Ribbon_ribbon.png?width=110"),IFERROR(IMAGE("https://commons.wikimedia.org/wiki/Special:FilePath/Coast_Guard_Sea_Service_Ribbon.svg?width=110"),IMAGE("https://commons.wikimedia.org/wiki/Special:FilePath/Coast_Guard_Sea_Service_Ribbon.png?width=110")))),"")</f>
        <v/>
      </c>
      <c r="F96" s="11" t="inlineStr">
        <is>
          <t>https://commons.wikimedia.org/wiki/Special:FilePath/Coast_Guard_Sea_Service_Ribbon_ribbon.svg?width=110</t>
        </is>
      </c>
      <c r="G96" s="4" t="inlineStr"/>
      <c r="H96" s="4" t="inlineStr"/>
      <c r="I96" s="2" t="inlineStr">
        <is>
          <t>https://en.wikipedia.org/wiki/Awards_and_decorations_of_the_United_States_Armed_Forces</t>
        </is>
      </c>
    </row>
    <row r="97" ht="44" customHeight="1">
      <c r="A97" s="6" t="inlineStr">
        <is>
          <t>Currently issued</t>
        </is>
      </c>
      <c r="B97" s="6" t="inlineStr">
        <is>
          <t>Service and training awards</t>
        </is>
      </c>
      <c r="C97" s="9" t="n">
        <v>96</v>
      </c>
      <c r="D97" s="12" t="inlineStr">
        <is>
          <t>Naval Reserve Sea Service Ribbon</t>
        </is>
      </c>
      <c r="E97" s="7">
        <f>IFERROR(IFERROR(IMAGE("https://commons.wikimedia.org/wiki/Special:FilePath/Naval_Reserve_Sea_Service_Ribbon_ribbon.svg?width=110"),IFERROR(IMAGE("https://commons.wikimedia.org/wiki/Special:FilePath/Naval_Reserve_Sea_Service_Ribbon_ribbon.png?width=110"),IFERROR(IMAGE("https://commons.wikimedia.org/wiki/Special:FilePath/Naval_Reserve_Sea_Service_Ribbon.svg?width=110"),IMAGE("https://commons.wikimedia.org/wiki/Special:FilePath/Naval_Reserve_Sea_Service_Ribbon.png?width=110")))),"")</f>
        <v/>
      </c>
      <c r="F97" s="11" t="inlineStr">
        <is>
          <t>https://commons.wikimedia.org/wiki/Special:FilePath/Naval_Reserve_Sea_Service_Ribbon_ribbon.svg?width=110</t>
        </is>
      </c>
      <c r="G97" s="6" t="inlineStr"/>
      <c r="H97" s="6" t="inlineStr"/>
      <c r="I97" s="2" t="inlineStr">
        <is>
          <t>https://en.wikipedia.org/wiki/Awards_and_decorations_of_the_United_States_Armed_Forces</t>
        </is>
      </c>
    </row>
    <row r="98" ht="44" customHeight="1">
      <c r="A98" s="4" t="inlineStr">
        <is>
          <t>Currently issued</t>
        </is>
      </c>
      <c r="B98" s="4" t="inlineStr">
        <is>
          <t>Service and training awards</t>
        </is>
      </c>
      <c r="C98" s="9" t="n">
        <v>97</v>
      </c>
      <c r="D98" s="10" t="inlineStr">
        <is>
          <t>Air and Space Expeditionary Service Ribbon</t>
        </is>
      </c>
      <c r="E98" s="5">
        <f>IFERROR(IFERROR(IMAGE("https://commons.wikimedia.org/wiki/Special:FilePath/Air_and_Space_Expeditionary_Service_Ribbon_ribbon.svg?width=110"),IFERROR(IMAGE("https://commons.wikimedia.org/wiki/Special:FilePath/Air_and_Space_Expeditionary_Service_Ribbon_ribbon.png?width=110"),IFERROR(IMAGE("https://commons.wikimedia.org/wiki/Special:FilePath/Air_and_Space_Expeditionary_Service_Ribbon.svg?width=110"),IMAGE("https://commons.wikimedia.org/wiki/Special:FilePath/Air_and_Space_Expeditionary_Service_Ribbon.png?width=110")))),"")</f>
        <v/>
      </c>
      <c r="F98" s="11" t="inlineStr">
        <is>
          <t>https://commons.wikimedia.org/wiki/Special:FilePath/Air_and_Space_Expeditionary_Service_Ribbon_ribbon.svg?width=110</t>
        </is>
      </c>
      <c r="G98" s="4" t="inlineStr"/>
      <c r="H98" s="4" t="inlineStr"/>
      <c r="I98" s="2" t="inlineStr">
        <is>
          <t>https://en.wikipedia.org/wiki/Awards_and_decorations_of_the_United_States_Armed_Forces</t>
        </is>
      </c>
    </row>
    <row r="99" ht="44" customHeight="1">
      <c r="A99" s="6" t="inlineStr">
        <is>
          <t>Currently issued</t>
        </is>
      </c>
      <c r="B99" s="6" t="inlineStr">
        <is>
          <t>Service and training awards</t>
        </is>
      </c>
      <c r="C99" s="9" t="n">
        <v>98</v>
      </c>
      <c r="D99" s="12" t="inlineStr">
        <is>
          <t>Navy Arctic Service Medal</t>
        </is>
      </c>
      <c r="E99" s="7">
        <f>IFERROR(IFERROR(IMAGE("https://commons.wikimedia.org/wiki/Special:FilePath/Navy_Arctic_Service_Medal_ribbon.svg?width=110"),IFERROR(IMAGE("https://commons.wikimedia.org/wiki/Special:FilePath/Navy_Arctic_Service_Medal_ribbon.png?width=110"),IFERROR(IMAGE("https://commons.wikimedia.org/wiki/Special:FilePath/Navy_Arctic_Service_Medal.svg?width=110"),IMAGE("https://commons.wikimedia.org/wiki/Special:FilePath/Navy_Arctic_Service_Medal.png?width=110")))),"")</f>
        <v/>
      </c>
      <c r="F99" s="11" t="inlineStr">
        <is>
          <t>https://commons.wikimedia.org/wiki/Special:FilePath/Navy_Arctic_Service_Medal_ribbon.svg?width=110</t>
        </is>
      </c>
      <c r="G99" s="6" t="inlineStr"/>
      <c r="H99" s="6" t="inlineStr"/>
      <c r="I99" s="2" t="inlineStr">
        <is>
          <t>https://en.wikipedia.org/wiki/Awards_and_decorations_of_the_United_States_Armed_Forces</t>
        </is>
      </c>
    </row>
    <row r="100" ht="44" customHeight="1">
      <c r="A100" s="4" t="inlineStr">
        <is>
          <t>Currently issued</t>
        </is>
      </c>
      <c r="B100" s="4" t="inlineStr">
        <is>
          <t>Overseas service ribbons</t>
        </is>
      </c>
      <c r="C100" s="9" t="n">
        <v>99</v>
      </c>
      <c r="D100" s="10" t="inlineStr">
        <is>
          <t>Army Overseas Service Ribbon</t>
        </is>
      </c>
      <c r="E100" s="5">
        <f>IFERROR(IFERROR(IMAGE("https://commons.wikimedia.org/wiki/Special:FilePath/Army_Overseas_Service_Ribbon_ribbon.svg?width=110"),IFERROR(IMAGE("https://commons.wikimedia.org/wiki/Special:FilePath/Army_Overseas_Service_Ribbon_ribbon.png?width=110"),IFERROR(IMAGE("https://commons.wikimedia.org/wiki/Special:FilePath/Army_Overseas_Service_Ribbon.svg?width=110"),IMAGE("https://commons.wikimedia.org/wiki/Special:FilePath/Army_Overseas_Service_Ribbon.png?width=110")))),"")</f>
        <v/>
      </c>
      <c r="F100" s="11" t="inlineStr">
        <is>
          <t>https://commons.wikimedia.org/wiki/Special:FilePath/Army_Overseas_Service_Ribbon_ribbon.svg?width=110</t>
        </is>
      </c>
      <c r="G100" s="4" t="inlineStr"/>
      <c r="H100" s="4" t="inlineStr"/>
      <c r="I100" s="2" t="inlineStr">
        <is>
          <t>https://en.wikipedia.org/wiki/Awards_and_decorations_of_the_United_States_Armed_Forces</t>
        </is>
      </c>
    </row>
    <row r="101" ht="44" customHeight="1">
      <c r="A101" s="6" t="inlineStr">
        <is>
          <t>Currently issued</t>
        </is>
      </c>
      <c r="B101" s="6" t="inlineStr">
        <is>
          <t>Overseas service ribbons</t>
        </is>
      </c>
      <c r="C101" s="9" t="n">
        <v>100</v>
      </c>
      <c r="D101" s="12" t="inlineStr">
        <is>
          <t>Navy and Marine Corps Overseas Service Ribbon</t>
        </is>
      </c>
      <c r="E101" s="7">
        <f>IFERROR(IFERROR(IMAGE("https://commons.wikimedia.org/wiki/Special:FilePath/Navy_and_Marine_Corps_Overseas_Service_Ribbon_ribbon.svg?width=110"),IFERROR(IMAGE("https://commons.wikimedia.org/wiki/Special:FilePath/Navy_and_Marine_Corps_Overseas_Service_Ribbon_ribbon.png?width=110"),IFERROR(IMAGE("https://commons.wikimedia.org/wiki/Special:FilePath/Navy_and_Marine_Corps_Overseas_Service_Ribbon.svg?width=110"),IMAGE("https://commons.wikimedia.org/wiki/Special:FilePath/Navy_and_Marine_Corps_Overseas_Service_Ribbon.png?width=110")))),"")</f>
        <v/>
      </c>
      <c r="F101" s="11" t="inlineStr">
        <is>
          <t>https://commons.wikimedia.org/wiki/Special:FilePath/Navy_and_Marine_Corps_Overseas_Service_Ribbon_ribbon.svg?width=110</t>
        </is>
      </c>
      <c r="G101" s="6" t="inlineStr"/>
      <c r="H101" s="6" t="inlineStr"/>
      <c r="I101" s="2" t="inlineStr">
        <is>
          <t>https://en.wikipedia.org/wiki/Awards_and_decorations_of_the_United_States_Armed_Forces</t>
        </is>
      </c>
    </row>
    <row r="102" ht="44" customHeight="1">
      <c r="A102" s="4" t="inlineStr">
        <is>
          <t>Currently issued</t>
        </is>
      </c>
      <c r="B102" s="4" t="inlineStr">
        <is>
          <t>Overseas service ribbons</t>
        </is>
      </c>
      <c r="C102" s="9" t="n">
        <v>101</v>
      </c>
      <c r="D102" s="10" t="inlineStr">
        <is>
          <t>Coast Guard Overseas Service Ribbon</t>
        </is>
      </c>
      <c r="E102" s="5">
        <f>IFERROR(IFERROR(IMAGE("https://commons.wikimedia.org/wiki/Special:FilePath/Coast_Guard_Overseas_Service_Ribbon_ribbon.svg?width=110"),IFERROR(IMAGE("https://commons.wikimedia.org/wiki/Special:FilePath/Coast_Guard_Overseas_Service_Ribbon_ribbon.png?width=110"),IFERROR(IMAGE("https://commons.wikimedia.org/wiki/Special:FilePath/Coast_Guard_Overseas_Service_Ribbon.svg?width=110"),IMAGE("https://commons.wikimedia.org/wiki/Special:FilePath/Coast_Guard_Overseas_Service_Ribbon.png?width=110")))),"")</f>
        <v/>
      </c>
      <c r="F102" s="11" t="inlineStr">
        <is>
          <t>https://commons.wikimedia.org/wiki/Special:FilePath/Coast_Guard_Overseas_Service_Ribbon_ribbon.svg?width=110</t>
        </is>
      </c>
      <c r="G102" s="4" t="inlineStr"/>
      <c r="H102" s="4" t="inlineStr"/>
      <c r="I102" s="2" t="inlineStr">
        <is>
          <t>https://en.wikipedia.org/wiki/Awards_and_decorations_of_the_United_States_Armed_Forces</t>
        </is>
      </c>
    </row>
    <row r="103" ht="44" customHeight="1">
      <c r="A103" s="6" t="inlineStr">
        <is>
          <t>Currently issued</t>
        </is>
      </c>
      <c r="B103" s="6" t="inlineStr">
        <is>
          <t>Overseas service ribbons</t>
        </is>
      </c>
      <c r="C103" s="9" t="n">
        <v>102</v>
      </c>
      <c r="D103" s="12" t="inlineStr">
        <is>
          <t>Air and Space Overseas Short Tour Service Ribbon</t>
        </is>
      </c>
      <c r="E103" s="7">
        <f>IFERROR(IFERROR(IMAGE("https://commons.wikimedia.org/wiki/Special:FilePath/Air_and_Space_Overseas_Short_Tour_Service_Ribbon_ribbon.svg?width=110"),IFERROR(IMAGE("https://commons.wikimedia.org/wiki/Special:FilePath/Air_and_Space_Overseas_Short_Tour_Service_Ribbon_ribbon.png?width=110"),IFERROR(IMAGE("https://commons.wikimedia.org/wiki/Special:FilePath/Air_and_Space_Overseas_Short_Tour_Service_Ribbon.svg?width=110"),IMAGE("https://commons.wikimedia.org/wiki/Special:FilePath/Air_and_Space_Overseas_Short_Tour_Service_Ribbon.png?width=110")))),"")</f>
        <v/>
      </c>
      <c r="F103" s="11" t="inlineStr">
        <is>
          <t>https://commons.wikimedia.org/wiki/Special:FilePath/Air_and_Space_Overseas_Short_Tour_Service_Ribbon_ribbon.svg?width=110</t>
        </is>
      </c>
      <c r="G103" s="6" t="inlineStr"/>
      <c r="H103" s="6" t="inlineStr"/>
      <c r="I103" s="2" t="inlineStr">
        <is>
          <t>https://en.wikipedia.org/wiki/Awards_and_decorations_of_the_United_States_Armed_Forces</t>
        </is>
      </c>
    </row>
    <row r="104" ht="44" customHeight="1">
      <c r="A104" s="4" t="inlineStr">
        <is>
          <t>Currently issued</t>
        </is>
      </c>
      <c r="B104" s="4" t="inlineStr">
        <is>
          <t>Overseas service ribbons</t>
        </is>
      </c>
      <c r="C104" s="9" t="n">
        <v>103</v>
      </c>
      <c r="D104" s="10" t="inlineStr">
        <is>
          <t>Air and Space Overseas Long Tour Service Ribbon</t>
        </is>
      </c>
      <c r="E104" s="5">
        <f>IFERROR(IFERROR(IMAGE("https://commons.wikimedia.org/wiki/Special:FilePath/Air_and_Space_Overseas_Long_Tour_Service_Ribbon_ribbon.svg?width=110"),IFERROR(IMAGE("https://commons.wikimedia.org/wiki/Special:FilePath/Air_and_Space_Overseas_Long_Tour_Service_Ribbon_ribbon.png?width=110"),IFERROR(IMAGE("https://commons.wikimedia.org/wiki/Special:FilePath/Air_and_Space_Overseas_Long_Tour_Service_Ribbon.svg?width=110"),IMAGE("https://commons.wikimedia.org/wiki/Special:FilePath/Air_and_Space_Overseas_Long_Tour_Service_Ribbon.png?width=110")))),"")</f>
        <v/>
      </c>
      <c r="F104" s="11" t="inlineStr">
        <is>
          <t>https://commons.wikimedia.org/wiki/Special:FilePath/Air_and_Space_Overseas_Long_Tour_Service_Ribbon_ribbon.svg?width=110</t>
        </is>
      </c>
      <c r="G104" s="4" t="inlineStr"/>
      <c r="H104" s="4" t="inlineStr"/>
      <c r="I104" s="2" t="inlineStr">
        <is>
          <t>https://en.wikipedia.org/wiki/Awards_and_decorations_of_the_United_States_Armed_Forces</t>
        </is>
      </c>
    </row>
    <row r="105" ht="44" customHeight="1">
      <c r="A105" s="6" t="inlineStr">
        <is>
          <t>Currently issued</t>
        </is>
      </c>
      <c r="B105" s="6" t="inlineStr">
        <is>
          <t>Overseas service ribbons</t>
        </is>
      </c>
      <c r="C105" s="9" t="n">
        <v>104</v>
      </c>
      <c r="D105" s="12" t="inlineStr">
        <is>
          <t>Army Reserve Overseas Training Ribbon</t>
        </is>
      </c>
      <c r="E105" s="7">
        <f>IFERROR(IFERROR(IMAGE("https://commons.wikimedia.org/wiki/Special:FilePath/Army_Reserve_Overseas_Training_Ribbon_ribbon.svg?width=110"),IFERROR(IMAGE("https://commons.wikimedia.org/wiki/Special:FilePath/Army_Reserve_Overseas_Training_Ribbon_ribbon.png?width=110"),IFERROR(IMAGE("https://commons.wikimedia.org/wiki/Special:FilePath/Army_Reserve_Overseas_Training_Ribbon.svg?width=110"),IMAGE("https://commons.wikimedia.org/wiki/Special:FilePath/Army_Reserve_Overseas_Training_Ribbon.png?width=110")))),"")</f>
        <v/>
      </c>
      <c r="F105" s="11" t="inlineStr">
        <is>
          <t>https://commons.wikimedia.org/wiki/Special:FilePath/Army_Reserve_Overseas_Training_Ribbon_ribbon.svg?width=110</t>
        </is>
      </c>
      <c r="G105" s="6" t="inlineStr"/>
      <c r="H105" s="6" t="inlineStr"/>
      <c r="I105" s="2" t="inlineStr">
        <is>
          <t>https://en.wikipedia.org/wiki/Awards_and_decorations_of_the_United_States_Armed_Forces</t>
        </is>
      </c>
    </row>
    <row r="106" ht="44" customHeight="1">
      <c r="A106" s="4" t="inlineStr">
        <is>
          <t>Currently issued</t>
        </is>
      </c>
      <c r="B106" s="4" t="inlineStr">
        <is>
          <t>Overseas service ribbons</t>
        </is>
      </c>
      <c r="C106" s="9" t="n">
        <v>105</v>
      </c>
      <c r="D106" s="10" t="inlineStr">
        <is>
          <t>Coast Guard Restricted Duty Ribbon</t>
        </is>
      </c>
      <c r="E106" s="5">
        <f>IFERROR(IFERROR(IMAGE("https://commons.wikimedia.org/wiki/Special:FilePath/Coast_Guard_Restricted_Duty_Ribbon_ribbon.svg?width=110"),IFERROR(IMAGE("https://commons.wikimedia.org/wiki/Special:FilePath/Coast_Guard_Restricted_Duty_Ribbon_ribbon.png?width=110"),IFERROR(IMAGE("https://commons.wikimedia.org/wiki/Special:FilePath/Coast_Guard_Restricted_Duty_Ribbon.svg?width=110"),IMAGE("https://commons.wikimedia.org/wiki/Special:FilePath/Coast_Guard_Restricted_Duty_Ribbon.png?width=110")))),"")</f>
        <v/>
      </c>
      <c r="F106" s="11" t="inlineStr">
        <is>
          <t>https://commons.wikimedia.org/wiki/Special:FilePath/Coast_Guard_Restricted_Duty_Ribbon_ribbon.svg?width=110</t>
        </is>
      </c>
      <c r="G106" s="4" t="inlineStr"/>
      <c r="H106" s="4" t="inlineStr"/>
      <c r="I106" s="2" t="inlineStr">
        <is>
          <t>https://en.wikipedia.org/wiki/Awards_and_decorations_of_the_United_States_Armed_Forces</t>
        </is>
      </c>
    </row>
    <row r="107" ht="44" customHeight="1">
      <c r="A107" s="6" t="inlineStr">
        <is>
          <t>Currently issued</t>
        </is>
      </c>
      <c r="B107" s="6" t="inlineStr">
        <is>
          <t>Overseas service ribbons</t>
        </is>
      </c>
      <c r="C107" s="9" t="n">
        <v>106</v>
      </c>
      <c r="D107" s="12" t="inlineStr">
        <is>
          <t>Coast Guard Special Operations Service Ribbon</t>
        </is>
      </c>
      <c r="E107" s="7">
        <f>IFERROR(IFERROR(IMAGE("https://commons.wikimedia.org/wiki/Special:FilePath/Coast_Guard_Special_Operations_Service_Ribbon_ribbon.svg?width=110"),IFERROR(IMAGE("https://commons.wikimedia.org/wiki/Special:FilePath/Coast_Guard_Special_Operations_Service_Ribbon_ribbon.png?width=110"),IFERROR(IMAGE("https://commons.wikimedia.org/wiki/Special:FilePath/Coast_Guard_Special_Operations_Service_Ribbon.svg?width=110"),IMAGE("https://commons.wikimedia.org/wiki/Special:FilePath/Coast_Guard_Special_Operations_Service_Ribbon.png?width=110")))),"")</f>
        <v/>
      </c>
      <c r="F107" s="11" t="inlineStr">
        <is>
          <t>https://commons.wikimedia.org/wiki/Special:FilePath/Coast_Guard_Special_Operations_Service_Ribbon_ribbon.svg?width=110</t>
        </is>
      </c>
      <c r="G107" s="6" t="inlineStr"/>
      <c r="H107" s="6" t="inlineStr"/>
      <c r="I107" s="2" t="inlineStr">
        <is>
          <t>https://en.wikipedia.org/wiki/Awards_and_decorations_of_the_United_States_Armed_Forces</t>
        </is>
      </c>
    </row>
    <row r="108" ht="44" customHeight="1">
      <c r="A108" s="4" t="inlineStr">
        <is>
          <t>Currently issued</t>
        </is>
      </c>
      <c r="B108" s="4" t="inlineStr">
        <is>
          <t>Longevity ribbon</t>
        </is>
      </c>
      <c r="C108" s="9" t="n">
        <v>107</v>
      </c>
      <c r="D108" s="10" t="inlineStr">
        <is>
          <t>Air and Space Longevity Service Award</t>
        </is>
      </c>
      <c r="E108" s="5">
        <f>IFERROR(IFERROR(IMAGE("https://commons.wikimedia.org/wiki/Special:FilePath/Air_and_Space_Longevity_Service_Award_ribbon.svg?width=110"),IFERROR(IMAGE("https://commons.wikimedia.org/wiki/Special:FilePath/Air_and_Space_Longevity_Service_Award_ribbon.png?width=110"),IFERROR(IMAGE("https://commons.wikimedia.org/wiki/Special:FilePath/Air_and_Space_Longevity_Service_Award.svg?width=110"),IMAGE("https://commons.wikimedia.org/wiki/Special:FilePath/Air_and_Space_Longevity_Service_Award.png?width=110")))),"")</f>
        <v/>
      </c>
      <c r="F108" s="11" t="inlineStr">
        <is>
          <t>https://commons.wikimedia.org/wiki/Special:FilePath/Air_and_Space_Longevity_Service_Award_ribbon.svg?width=110</t>
        </is>
      </c>
      <c r="G108" s="4" t="inlineStr"/>
      <c r="H108" s="4" t="inlineStr"/>
      <c r="I108" s="2" t="inlineStr">
        <is>
          <t>https://en.wikipedia.org/wiki/Awards_and_decorations_of_the_United_States_Armed_Forces</t>
        </is>
      </c>
    </row>
    <row r="109" ht="44" customHeight="1">
      <c r="A109" s="6" t="inlineStr">
        <is>
          <t>Currently issued</t>
        </is>
      </c>
      <c r="B109" s="6" t="inlineStr">
        <is>
          <t>Recruiting service and training service ribbons</t>
        </is>
      </c>
      <c r="C109" s="9" t="n">
        <v>108</v>
      </c>
      <c r="D109" s="12" t="inlineStr">
        <is>
          <t>Army Recruiting Ribbon</t>
        </is>
      </c>
      <c r="E109" s="7">
        <f>IFERROR(IFERROR(IMAGE("https://commons.wikimedia.org/wiki/Special:FilePath/Army_Recruiting_Ribbon_ribbon.svg?width=110"),IFERROR(IMAGE("https://commons.wikimedia.org/wiki/Special:FilePath/Army_Recruiting_Ribbon_ribbon.png?width=110"),IFERROR(IMAGE("https://commons.wikimedia.org/wiki/Special:FilePath/Army_Recruiting_Ribbon.svg?width=110"),IMAGE("https://commons.wikimedia.org/wiki/Special:FilePath/Army_Recruiting_Ribbon.png?width=110")))),"")</f>
        <v/>
      </c>
      <c r="F109" s="11" t="inlineStr">
        <is>
          <t>https://commons.wikimedia.org/wiki/Special:FilePath/Army_Recruiting_Ribbon_ribbon.svg?width=110</t>
        </is>
      </c>
      <c r="G109" s="6" t="inlineStr"/>
      <c r="H109" s="6" t="inlineStr"/>
      <c r="I109" s="2" t="inlineStr">
        <is>
          <t>https://en.wikipedia.org/wiki/Awards_and_decorations_of_the_United_States_Armed_Forces</t>
        </is>
      </c>
    </row>
    <row r="110" ht="44" customHeight="1">
      <c r="A110" s="4" t="inlineStr">
        <is>
          <t>Currently issued</t>
        </is>
      </c>
      <c r="B110" s="4" t="inlineStr">
        <is>
          <t>Recruiting service and training service ribbons</t>
        </is>
      </c>
      <c r="C110" s="9" t="n">
        <v>109</v>
      </c>
      <c r="D110" s="10" t="inlineStr">
        <is>
          <t>Navy Recruiting Service Ribbon</t>
        </is>
      </c>
      <c r="E110" s="5">
        <f>IFERROR(IFERROR(IMAGE("https://commons.wikimedia.org/wiki/Special:FilePath/Navy_Recruiting_Service_Ribbon_ribbon.svg?width=110"),IFERROR(IMAGE("https://commons.wikimedia.org/wiki/Special:FilePath/Navy_Recruiting_Service_Ribbon_ribbon.png?width=110"),IFERROR(IMAGE("https://commons.wikimedia.org/wiki/Special:FilePath/Navy_Recruiting_Service_Ribbon.svg?width=110"),IMAGE("https://commons.wikimedia.org/wiki/Special:FilePath/Navy_Recruiting_Service_Ribbon.png?width=110")))),"")</f>
        <v/>
      </c>
      <c r="F110" s="11" t="inlineStr">
        <is>
          <t>https://commons.wikimedia.org/wiki/Special:FilePath/Navy_Recruiting_Service_Ribbon_ribbon.svg?width=110</t>
        </is>
      </c>
      <c r="G110" s="4" t="inlineStr"/>
      <c r="H110" s="4" t="inlineStr"/>
      <c r="I110" s="2" t="inlineStr">
        <is>
          <t>https://en.wikipedia.org/wiki/Awards_and_decorations_of_the_United_States_Armed_Forces</t>
        </is>
      </c>
    </row>
    <row r="111" ht="44" customHeight="1">
      <c r="A111" s="6" t="inlineStr">
        <is>
          <t>Currently issued</t>
        </is>
      </c>
      <c r="B111" s="6" t="inlineStr">
        <is>
          <t>Recruiting service and training service ribbons</t>
        </is>
      </c>
      <c r="C111" s="9" t="n">
        <v>110</v>
      </c>
      <c r="D111" s="12" t="inlineStr">
        <is>
          <t>Marine Corps Recruiting Ribbon</t>
        </is>
      </c>
      <c r="E111" s="7">
        <f>IFERROR(IFERROR(IMAGE("https://commons.wikimedia.org/wiki/Special:FilePath/Marine_Corps_Recruiting_Ribbon_ribbon.svg?width=110"),IFERROR(IMAGE("https://commons.wikimedia.org/wiki/Special:FilePath/Marine_Corps_Recruiting_Ribbon_ribbon.png?width=110"),IFERROR(IMAGE("https://commons.wikimedia.org/wiki/Special:FilePath/Marine_Corps_Recruiting_Ribbon.svg?width=110"),IMAGE("https://commons.wikimedia.org/wiki/Special:FilePath/Marine_Corps_Recruiting_Ribbon.png?width=110")))),"")</f>
        <v/>
      </c>
      <c r="F111" s="11" t="inlineStr">
        <is>
          <t>https://commons.wikimedia.org/wiki/Special:FilePath/Marine_Corps_Recruiting_Ribbon_ribbon.svg?width=110</t>
        </is>
      </c>
      <c r="G111" s="6" t="inlineStr"/>
      <c r="H111" s="6" t="inlineStr"/>
      <c r="I111" s="2" t="inlineStr">
        <is>
          <t>https://en.wikipedia.org/wiki/Awards_and_decorations_of_the_United_States_Armed_Forces</t>
        </is>
      </c>
    </row>
    <row r="112" ht="44" customHeight="1">
      <c r="A112" s="4" t="inlineStr">
        <is>
          <t>Currently issued</t>
        </is>
      </c>
      <c r="B112" s="4" t="inlineStr">
        <is>
          <t>Recruiting service and training service ribbons</t>
        </is>
      </c>
      <c r="C112" s="9" t="n">
        <v>111</v>
      </c>
      <c r="D112" s="10" t="inlineStr">
        <is>
          <t>Coast Guard Recruiting Service Ribbon</t>
        </is>
      </c>
      <c r="E112" s="5">
        <f>IFERROR(IFERROR(IMAGE("https://commons.wikimedia.org/wiki/Special:FilePath/Coast_Guard_Recruiting_Service_Ribbon_ribbon.svg?width=110"),IFERROR(IMAGE("https://commons.wikimedia.org/wiki/Special:FilePath/Coast_Guard_Recruiting_Service_Ribbon_ribbon.png?width=110"),IFERROR(IMAGE("https://commons.wikimedia.org/wiki/Special:FilePath/Coast_Guard_Recruiting_Service_Ribbon.svg?width=110"),IMAGE("https://commons.wikimedia.org/wiki/Special:FilePath/Coast_Guard_Recruiting_Service_Ribbon.png?width=110")))),"")</f>
        <v/>
      </c>
      <c r="F112" s="11" t="inlineStr">
        <is>
          <t>https://commons.wikimedia.org/wiki/Special:FilePath/Coast_Guard_Recruiting_Service_Ribbon_ribbon.svg?width=110</t>
        </is>
      </c>
      <c r="G112" s="4" t="inlineStr"/>
      <c r="H112" s="4" t="inlineStr"/>
      <c r="I112" s="2" t="inlineStr">
        <is>
          <t>https://en.wikipedia.org/wiki/Awards_and_decorations_of_the_United_States_Armed_Forces</t>
        </is>
      </c>
    </row>
    <row r="113" ht="44" customHeight="1">
      <c r="A113" s="6" t="inlineStr">
        <is>
          <t>Currently issued</t>
        </is>
      </c>
      <c r="B113" s="6" t="inlineStr">
        <is>
          <t>Recruiting service and training service ribbons</t>
        </is>
      </c>
      <c r="C113" s="9" t="n">
        <v>112</v>
      </c>
      <c r="D113" s="12" t="inlineStr">
        <is>
          <t>Navy Accession Training Service Ribbon</t>
        </is>
      </c>
      <c r="E113" s="7">
        <f>IFERROR(IFERROR(IMAGE("https://commons.wikimedia.org/wiki/Special:FilePath/Navy_Accession_Training_Service_Ribbon_ribbon.svg?width=110"),IFERROR(IMAGE("https://commons.wikimedia.org/wiki/Special:FilePath/Navy_Accession_Training_Service_Ribbon_ribbon.png?width=110"),IFERROR(IMAGE("https://commons.wikimedia.org/wiki/Special:FilePath/Navy_Accession_Training_Service_Ribbon.svg?width=110"),IMAGE("https://commons.wikimedia.org/wiki/Special:FilePath/Navy_Accession_Training_Service_Ribbon.png?width=110")))),"")</f>
        <v/>
      </c>
      <c r="F113" s="11" t="inlineStr">
        <is>
          <t>https://commons.wikimedia.org/wiki/Special:FilePath/Navy_Accession_Training_Service_Ribbon_ribbon.svg?width=110</t>
        </is>
      </c>
      <c r="G113" s="6" t="inlineStr"/>
      <c r="H113" s="6" t="inlineStr"/>
      <c r="I113" s="2" t="inlineStr">
        <is>
          <t>https://en.wikipedia.org/wiki/Awards_and_decorations_of_the_United_States_Armed_Forces</t>
        </is>
      </c>
    </row>
    <row r="114" ht="44" customHeight="1">
      <c r="A114" s="4" t="inlineStr">
        <is>
          <t>Currently issued</t>
        </is>
      </c>
      <c r="B114" s="4" t="inlineStr">
        <is>
          <t>Recruiting service and training service ribbons</t>
        </is>
      </c>
      <c r="C114" s="9" t="n">
        <v>113</v>
      </c>
      <c r="D114" s="10" t="inlineStr">
        <is>
          <t>Marine Corps Drill Instructor Ribbon</t>
        </is>
      </c>
      <c r="E114" s="5">
        <f>IFERROR(IFERROR(IMAGE("https://commons.wikimedia.org/wiki/Special:FilePath/Marine_Corps_Drill_Instructor_Ribbon_ribbon.svg?width=110"),IFERROR(IMAGE("https://commons.wikimedia.org/wiki/Special:FilePath/Marine_Corps_Drill_Instructor_Ribbon_ribbon.png?width=110"),IFERROR(IMAGE("https://commons.wikimedia.org/wiki/Special:FilePath/Marine_Corps_Drill_Instructor_Ribbon.svg?width=110"),IMAGE("https://commons.wikimedia.org/wiki/Special:FilePath/Marine_Corps_Drill_Instructor_Ribbon.png?width=110")))),"")</f>
        <v/>
      </c>
      <c r="F114" s="11" t="inlineStr">
        <is>
          <t>https://commons.wikimedia.org/wiki/Special:FilePath/Marine_Corps_Drill_Instructor_Ribbon_ribbon.svg?width=110</t>
        </is>
      </c>
      <c r="G114" s="4" t="inlineStr"/>
      <c r="H114" s="4" t="inlineStr"/>
      <c r="I114" s="2" t="inlineStr">
        <is>
          <t>https://en.wikipedia.org/wiki/Awards_and_decorations_of_the_United_States_Armed_Forces</t>
        </is>
      </c>
    </row>
    <row r="115" ht="44" customHeight="1">
      <c r="A115" s="6" t="inlineStr">
        <is>
          <t>Currently issued</t>
        </is>
      </c>
      <c r="B115" s="6" t="inlineStr">
        <is>
          <t>Recruiting service and training service ribbons</t>
        </is>
      </c>
      <c r="C115" s="9" t="n">
        <v>114</v>
      </c>
      <c r="D115" s="12" t="inlineStr">
        <is>
          <t>Marine Corps Combat Instructor Ribbon</t>
        </is>
      </c>
      <c r="E115" s="7">
        <f>IFERROR(IFERROR(IMAGE("https://commons.wikimedia.org/wiki/Special:FilePath/Marine_Corps_Combat_Instructor_Ribbon_ribbon.svg?width=110"),IFERROR(IMAGE("https://commons.wikimedia.org/wiki/Special:FilePath/Marine_Corps_Combat_Instructor_Ribbon_ribbon.png?width=110"),IFERROR(IMAGE("https://commons.wikimedia.org/wiki/Special:FilePath/Marine_Corps_Combat_Instructor_Ribbon.svg?width=110"),IMAGE("https://commons.wikimedia.org/wiki/Special:FilePath/Marine_Corps_Combat_Instructor_Ribbon.png?width=110")))),"")</f>
        <v/>
      </c>
      <c r="F115" s="11" t="inlineStr">
        <is>
          <t>https://commons.wikimedia.org/wiki/Special:FilePath/Marine_Corps_Combat_Instructor_Ribbon_ribbon.svg?width=110</t>
        </is>
      </c>
      <c r="G115" s="6" t="inlineStr"/>
      <c r="H115" s="6" t="inlineStr"/>
      <c r="I115" s="2" t="inlineStr">
        <is>
          <t>https://en.wikipedia.org/wiki/Awards_and_decorations_of_the_United_States_Armed_Forces</t>
        </is>
      </c>
    </row>
    <row r="116" ht="44" customHeight="1">
      <c r="A116" s="4" t="inlineStr">
        <is>
          <t>Currently issued</t>
        </is>
      </c>
      <c r="B116" s="4" t="inlineStr">
        <is>
          <t>Recruiting service and training service ribbons</t>
        </is>
      </c>
      <c r="C116" s="9" t="n">
        <v>115</v>
      </c>
      <c r="D116" s="10" t="inlineStr">
        <is>
          <t>Developmental Special Duty Ribbon</t>
        </is>
      </c>
      <c r="E116" s="5">
        <f>IFERROR(IFERROR(IMAGE("https://commons.wikimedia.org/wiki/Special:FilePath/Air_and_Space_Forces_Developmental_Special_Duty_Ribbon_ribbon.svg?width=110"),IFERROR(IMAGE("https://commons.wikimedia.org/wiki/Special:FilePath/Air_and_Space_Forces_Developmental_Special_Duty_Ribbon_ribbon.png?width=110"),IFERROR(IMAGE("https://commons.wikimedia.org/wiki/Special:FilePath/Developmental_Special_Duty_Ribbon_Air_and_Space_Forces_ribbon.svg?width=110"),IFERROR(IMAGE("https://commons.wikimedia.org/wiki/Special:FilePath/Developmental_Special_Duty_Ribbon_Air_and_Space_Forces_ribbon.png?width=110"),IFERROR(IMAGE("https://commons.wikimedia.org/wiki/Special:FilePath/Developmental_Special_Duty_Ribbon_Air_and_Space_Forces.svg?width=110"),IFERROR(IMAGE("https://commons.wikimedia.org/wiki/Special:FilePath/Developmental_Special_Duty_Ribbon_Air_and_Space_Forces.png?width=110"),IFERROR(IMAGE("https://commons.wikimedia.org/wiki/Special:FilePath/Developmental_Special_Duty_Ribbon_ribbon.svg?width=110"),IMAGE("https://commons.wikimedia.org/wiki/Special:FilePath/Developmental_Special_Duty_Ribbon_ribbon.png?width=110")))))))),"")</f>
        <v/>
      </c>
      <c r="F116" s="11" t="inlineStr">
        <is>
          <t>https://commons.wikimedia.org/wiki/Special:FilePath/Air_and_Space_Forces_Developmental_Special_Duty_Ribbon_ribbon.svg?width=110</t>
        </is>
      </c>
      <c r="G116" s="4" t="inlineStr">
        <is>
          <t>Air and Space Forces</t>
        </is>
      </c>
      <c r="H116" s="4" t="inlineStr"/>
      <c r="I116" s="2" t="inlineStr">
        <is>
          <t>https://en.wikipedia.org/wiki/Awards_and_decorations_of_the_United_States_Armed_Forces</t>
        </is>
      </c>
    </row>
    <row r="117" ht="44" customHeight="1">
      <c r="A117" s="6" t="inlineStr">
        <is>
          <t>Currently issued</t>
        </is>
      </c>
      <c r="B117" s="6" t="inlineStr">
        <is>
          <t>Guard ribbons</t>
        </is>
      </c>
      <c r="C117" s="9" t="n">
        <v>116</v>
      </c>
      <c r="D117" s="12" t="inlineStr">
        <is>
          <t>Navy Ceremonial Guard Ribbon</t>
        </is>
      </c>
      <c r="E117" s="7">
        <f>IFERROR(IFERROR(IMAGE("https://commons.wikimedia.org/wiki/Special:FilePath/Navy_Ceremonial_Guard_Ribbon_ribbon.svg?width=110"),IFERROR(IMAGE("https://commons.wikimedia.org/wiki/Special:FilePath/Navy_Ceremonial_Guard_Ribbon_ribbon.png?width=110"),IFERROR(IMAGE("https://commons.wikimedia.org/wiki/Special:FilePath/Navy_Ceremonial_Guard_Ribbon.svg?width=110"),IMAGE("https://commons.wikimedia.org/wiki/Special:FilePath/Navy_Ceremonial_Guard_Ribbon.png?width=110")))),"")</f>
        <v/>
      </c>
      <c r="F117" s="11" t="inlineStr">
        <is>
          <t>https://commons.wikimedia.org/wiki/Special:FilePath/Navy_Ceremonial_Guard_Ribbon_ribbon.svg?width=110</t>
        </is>
      </c>
      <c r="G117" s="6" t="inlineStr"/>
      <c r="H117" s="6" t="inlineStr"/>
      <c r="I117" s="2" t="inlineStr">
        <is>
          <t>https://en.wikipedia.org/wiki/Awards_and_decorations_of_the_United_States_Armed_Forces</t>
        </is>
      </c>
    </row>
    <row r="118" ht="44" customHeight="1">
      <c r="A118" s="4" t="inlineStr">
        <is>
          <t>Currently issued</t>
        </is>
      </c>
      <c r="B118" s="4" t="inlineStr">
        <is>
          <t>Guard ribbons</t>
        </is>
      </c>
      <c r="C118" s="9" t="n">
        <v>117</v>
      </c>
      <c r="D118" s="10" t="inlineStr">
        <is>
          <t>Marine Corps Security Guard Ribbon</t>
        </is>
      </c>
      <c r="E118" s="5">
        <f>IFERROR(IFERROR(IMAGE("https://commons.wikimedia.org/wiki/Special:FilePath/Marine_Corps_Security_Guard_Ribbon_ribbon.svg?width=110"),IFERROR(IMAGE("https://commons.wikimedia.org/wiki/Special:FilePath/Marine_Corps_Security_Guard_Ribbon_ribbon.png?width=110"),IFERROR(IMAGE("https://commons.wikimedia.org/wiki/Special:FilePath/Marine_Corps_Security_Guard_Ribbon.svg?width=110"),IMAGE("https://commons.wikimedia.org/wiki/Special:FilePath/Marine_Corps_Security_Guard_Ribbon.png?width=110")))),"")</f>
        <v/>
      </c>
      <c r="F118" s="11" t="inlineStr">
        <is>
          <t>https://commons.wikimedia.org/wiki/Special:FilePath/Marine_Corps_Security_Guard_Ribbon_ribbon.svg?width=110</t>
        </is>
      </c>
      <c r="G118" s="4" t="inlineStr"/>
      <c r="H118" s="4" t="inlineStr"/>
      <c r="I118" s="2" t="inlineStr">
        <is>
          <t>https://en.wikipedia.org/wiki/Awards_and_decorations_of_the_United_States_Armed_Forces</t>
        </is>
      </c>
    </row>
    <row r="119" ht="44" customHeight="1">
      <c r="A119" s="6" t="inlineStr">
        <is>
          <t>Currently issued</t>
        </is>
      </c>
      <c r="B119" s="6" t="inlineStr">
        <is>
          <t>Professional development ribbons</t>
        </is>
      </c>
      <c r="C119" s="9" t="n">
        <v>118</v>
      </c>
      <c r="D119" s="12" t="inlineStr">
        <is>
          <t>Army NCO Professional Development Ribbon</t>
        </is>
      </c>
      <c r="E119" s="7">
        <f>IFERROR(IFERROR(IMAGE("https://commons.wikimedia.org/wiki/Special:FilePath/Army_NCO_Professional_Development_Ribbon_ribbon.svg?width=110"),IFERROR(IMAGE("https://commons.wikimedia.org/wiki/Special:FilePath/Army_NCO_Professional_Development_Ribbon_ribbon.png?width=110"),IFERROR(IMAGE("https://commons.wikimedia.org/wiki/Special:FilePath/Army_NCO_Professional_Development_Ribbon.svg?width=110"),IMAGE("https://commons.wikimedia.org/wiki/Special:FilePath/Army_NCO_Professional_Development_Ribbon.png?width=110")))),"")</f>
        <v/>
      </c>
      <c r="F119" s="11" t="inlineStr">
        <is>
          <t>https://commons.wikimedia.org/wiki/Special:FilePath/Army_NCO_Professional_Development_Ribbon_ribbon.svg?width=110</t>
        </is>
      </c>
      <c r="G119" s="6" t="inlineStr"/>
      <c r="H119" s="6" t="inlineStr"/>
      <c r="I119" s="2" t="inlineStr">
        <is>
          <t>https://en.wikipedia.org/wiki/Awards_and_decorations_of_the_United_States_Armed_Forces</t>
        </is>
      </c>
    </row>
    <row r="120" ht="44" customHeight="1">
      <c r="A120" s="4" t="inlineStr">
        <is>
          <t>Currently issued</t>
        </is>
      </c>
      <c r="B120" s="4" t="inlineStr">
        <is>
          <t>Professional development ribbons</t>
        </is>
      </c>
      <c r="C120" s="9" t="n">
        <v>119</v>
      </c>
      <c r="D120" s="10" t="inlineStr">
        <is>
          <t>Air Force NCO PME Graduate Ribbon</t>
        </is>
      </c>
      <c r="E120" s="5">
        <f>IFERROR(IFERROR(IMAGE("https://commons.wikimedia.org/wiki/Special:FilePath/Air_Force_NCO_PME_Graduate_Ribbon_ribbon.svg?width=110"),IFERROR(IMAGE("https://commons.wikimedia.org/wiki/Special:FilePath/Air_Force_NCO_PME_Graduate_Ribbon_ribbon.png?width=110"),IFERROR(IMAGE("https://commons.wikimedia.org/wiki/Special:FilePath/Air_Force_NCO_PME_Graduate_Ribbon.svg?width=110"),IMAGE("https://commons.wikimedia.org/wiki/Special:FilePath/Air_Force_NCO_PME_Graduate_Ribbon.png?width=110")))),"")</f>
        <v/>
      </c>
      <c r="F120" s="11" t="inlineStr">
        <is>
          <t>https://commons.wikimedia.org/wiki/Special:FilePath/Air_Force_NCO_PME_Graduate_Ribbon_ribbon.svg?width=110</t>
        </is>
      </c>
      <c r="G120" s="4" t="inlineStr"/>
      <c r="H120" s="4" t="inlineStr"/>
      <c r="I120" s="2" t="inlineStr">
        <is>
          <t>https://en.wikipedia.org/wiki/Awards_and_decorations_of_the_United_States_Armed_Forces</t>
        </is>
      </c>
    </row>
    <row r="121" ht="44" customHeight="1">
      <c r="A121" s="6" t="inlineStr">
        <is>
          <t>Currently issued</t>
        </is>
      </c>
      <c r="B121" s="6" t="inlineStr">
        <is>
          <t>Basic training honor graduate ribbons</t>
        </is>
      </c>
      <c r="C121" s="9" t="n">
        <v>120</v>
      </c>
      <c r="D121" s="12" t="inlineStr">
        <is>
          <t>Navy Basic Military Training Honor Graduate Ribbon</t>
        </is>
      </c>
      <c r="E121" s="7">
        <f>IFERROR(IFERROR(IMAGE("https://commons.wikimedia.org/wiki/Special:FilePath/Navy_Basic_Military_Training_Honor_Graduate_Ribbon_ribbon.svg?width=110"),IFERROR(IMAGE("https://commons.wikimedia.org/wiki/Special:FilePath/Navy_Basic_Military_Training_Honor_Graduate_Ribbon_ribbon.png?width=110"),IFERROR(IMAGE("https://commons.wikimedia.org/wiki/Special:FilePath/Navy_Basic_Military_Training_Honor_Graduate_Ribbon.svg?width=110"),IMAGE("https://commons.wikimedia.org/wiki/Special:FilePath/Navy_Basic_Military_Training_Honor_Graduate_Ribbon.png?width=110")))),"")</f>
        <v/>
      </c>
      <c r="F121" s="11" t="inlineStr">
        <is>
          <t>https://commons.wikimedia.org/wiki/Special:FilePath/Navy_Basic_Military_Training_Honor_Graduate_Ribbon_ribbon.svg?width=110</t>
        </is>
      </c>
      <c r="G121" s="6" t="inlineStr"/>
      <c r="H121" s="6" t="inlineStr"/>
      <c r="I121" s="2" t="inlineStr">
        <is>
          <t>https://en.wikipedia.org/wiki/Awards_and_decorations_of_the_United_States_Armed_Forces</t>
        </is>
      </c>
    </row>
    <row r="122" ht="44" customHeight="1">
      <c r="A122" s="4" t="inlineStr">
        <is>
          <t>Currently issued</t>
        </is>
      </c>
      <c r="B122" s="4" t="inlineStr">
        <is>
          <t>Basic training honor graduate ribbons</t>
        </is>
      </c>
      <c r="C122" s="9" t="n">
        <v>121</v>
      </c>
      <c r="D122" s="10" t="inlineStr">
        <is>
          <t>Air Force Basic Military Training Honor Graduate Ribbon</t>
        </is>
      </c>
      <c r="E122" s="5">
        <f>IFERROR(IFERROR(IMAGE("https://commons.wikimedia.org/wiki/Special:FilePath/Air_Force_Basic_Military_Training_Honor_Graduate_Ribbon_ribbon.svg?width=110"),IFERROR(IMAGE("https://commons.wikimedia.org/wiki/Special:FilePath/Air_Force_Basic_Military_Training_Honor_Graduate_Ribbon_ribbon.png?width=110"),IFERROR(IMAGE("https://commons.wikimedia.org/wiki/Special:FilePath/Air_Force_Basic_Military_Training_Honor_Graduate_Ribbon.svg?width=110"),IMAGE("https://commons.wikimedia.org/wiki/Special:FilePath/Air_Force_Basic_Military_Training_Honor_Graduate_Ribbon.png?width=110")))),"")</f>
        <v/>
      </c>
      <c r="F122" s="11" t="inlineStr">
        <is>
          <t>https://commons.wikimedia.org/wiki/Special:FilePath/Air_Force_Basic_Military_Training_Honor_Graduate_Ribbon_ribbon.svg?width=110</t>
        </is>
      </c>
      <c r="G122" s="4" t="inlineStr"/>
      <c r="H122" s="4" t="inlineStr"/>
      <c r="I122" s="2" t="inlineStr">
        <is>
          <t>https://en.wikipedia.org/wiki/Awards_and_decorations_of_the_United_States_Armed_Forces</t>
        </is>
      </c>
    </row>
    <row r="123" ht="44" customHeight="1">
      <c r="A123" s="6" t="inlineStr">
        <is>
          <t>Currently issued</t>
        </is>
      </c>
      <c r="B123" s="6" t="inlineStr">
        <is>
          <t>Basic training honor graduate ribbons</t>
        </is>
      </c>
      <c r="C123" s="9" t="n">
        <v>122</v>
      </c>
      <c r="D123" s="12" t="inlineStr">
        <is>
          <t>Coast Guard Basic Training Honor Graduate Ribbon</t>
        </is>
      </c>
      <c r="E123" s="7">
        <f>IFERROR(IFERROR(IMAGE("https://commons.wikimedia.org/wiki/Special:FilePath/Coast_Guard_Basic_Training_Honor_Graduate_Ribbon_ribbon.svg?width=110"),IFERROR(IMAGE("https://commons.wikimedia.org/wiki/Special:FilePath/Coast_Guard_Basic_Training_Honor_Graduate_Ribbon_ribbon.png?width=110"),IFERROR(IMAGE("https://commons.wikimedia.org/wiki/Special:FilePath/Coast_Guard_Basic_Training_Honor_Graduate_Ribbon.svg?width=110"),IMAGE("https://commons.wikimedia.org/wiki/Special:FilePath/Coast_Guard_Basic_Training_Honor_Graduate_Ribbon.png?width=110")))),"")</f>
        <v/>
      </c>
      <c r="F123" s="11" t="inlineStr">
        <is>
          <t>https://commons.wikimedia.org/wiki/Special:FilePath/Coast_Guard_Basic_Training_Honor_Graduate_Ribbon_ribbon.svg?width=110</t>
        </is>
      </c>
      <c r="G123" s="6" t="inlineStr"/>
      <c r="H123" s="6" t="inlineStr"/>
      <c r="I123" s="2" t="inlineStr">
        <is>
          <t>https://en.wikipedia.org/wiki/Awards_and_decorations_of_the_United_States_Armed_Forces</t>
        </is>
      </c>
    </row>
    <row r="124" ht="44" customHeight="1">
      <c r="A124" s="4" t="inlineStr">
        <is>
          <t>Currently issued</t>
        </is>
      </c>
      <c r="B124" s="4" t="inlineStr">
        <is>
          <t>Training ribbons</t>
        </is>
      </c>
      <c r="C124" s="9" t="n">
        <v>123</v>
      </c>
      <c r="D124" s="10" t="inlineStr">
        <is>
          <t>Army Service Ribbon</t>
        </is>
      </c>
      <c r="E124" s="5">
        <f>IFERROR(IFERROR(IMAGE("https://commons.wikimedia.org/wiki/Special:FilePath/Army_Service_Ribbon_ribbon.svg?width=110"),IFERROR(IMAGE("https://commons.wikimedia.org/wiki/Special:FilePath/Army_Service_Ribbon_ribbon.png?width=110"),IFERROR(IMAGE("https://commons.wikimedia.org/wiki/Special:FilePath/Army_Service_Ribbon.svg?width=110"),IMAGE("https://commons.wikimedia.org/wiki/Special:FilePath/Army_Service_Ribbon.png?width=110")))),"")</f>
        <v/>
      </c>
      <c r="F124" s="11" t="inlineStr">
        <is>
          <t>https://commons.wikimedia.org/wiki/Special:FilePath/Army_Service_Ribbon_ribbon.svg?width=110</t>
        </is>
      </c>
      <c r="G124" s="4" t="inlineStr"/>
      <c r="H124" s="4" t="inlineStr"/>
      <c r="I124" s="2" t="inlineStr">
        <is>
          <t>https://en.wikipedia.org/wiki/Awards_and_decorations_of_the_United_States_Armed_Forces</t>
        </is>
      </c>
    </row>
    <row r="125" ht="44" customHeight="1">
      <c r="A125" s="6" t="inlineStr">
        <is>
          <t>Currently issued</t>
        </is>
      </c>
      <c r="B125" s="6" t="inlineStr">
        <is>
          <t>Training ribbons</t>
        </is>
      </c>
      <c r="C125" s="9" t="n">
        <v>124</v>
      </c>
      <c r="D125" s="12" t="inlineStr">
        <is>
          <t>Air and Space Training Ribbon</t>
        </is>
      </c>
      <c r="E125" s="7">
        <f>IFERROR(IFERROR(IMAGE("https://commons.wikimedia.org/wiki/Special:FilePath/Air_and_Space_Training_Ribbon_ribbon.svg?width=110"),IFERROR(IMAGE("https://commons.wikimedia.org/wiki/Special:FilePath/Air_and_Space_Training_Ribbon_ribbon.png?width=110"),IFERROR(IMAGE("https://commons.wikimedia.org/wiki/Special:FilePath/Air_and_Space_Training_Ribbon.svg?width=110"),IMAGE("https://commons.wikimedia.org/wiki/Special:FilePath/Air_and_Space_Training_Ribbon.png?width=110")))),"")</f>
        <v/>
      </c>
      <c r="F125" s="11" t="inlineStr">
        <is>
          <t>https://commons.wikimedia.org/wiki/Special:FilePath/Air_and_Space_Training_Ribbon_ribbon.svg?width=110</t>
        </is>
      </c>
      <c r="G125" s="6" t="inlineStr"/>
      <c r="H125" s="6" t="inlineStr"/>
      <c r="I125" s="2" t="inlineStr">
        <is>
          <t>https://en.wikipedia.org/wiki/Awards_and_decorations_of_the_United_States_Armed_Forces</t>
        </is>
      </c>
    </row>
    <row r="126" ht="44" customHeight="1">
      <c r="A126" s="4" t="inlineStr">
        <is>
          <t>Currently issued</t>
        </is>
      </c>
      <c r="B126" s="4" t="inlineStr">
        <is>
          <t>Marksmanship awards</t>
        </is>
      </c>
      <c r="C126" s="9" t="n">
        <v>125</v>
      </c>
      <c r="D126" s="10" t="inlineStr">
        <is>
          <t>Small Arms Expert Marksmanship Ribbon</t>
        </is>
      </c>
      <c r="E126" s="5">
        <f>IFERROR(IFERROR(IMAGE("https://commons.wikimedia.org/wiki/Special:FilePath/Air_and_Space_Forces_Small_Arms_Expert_Marksmanship_Ribbon_ribbon.svg?width=110"),IFERROR(IMAGE("https://commons.wikimedia.org/wiki/Special:FilePath/Air_and_Space_Forces_Small_Arms_Expert_Marksmanship_Ribbon_ribbon.png?width=110"),IFERROR(IMAGE("https://commons.wikimedia.org/wiki/Special:FilePath/Small_Arms_Expert_Marksmanship_Ribbon_Air_and_Space_Forces_ribbon.svg?width=110"),IFERROR(IMAGE("https://commons.wikimedia.org/wiki/Special:FilePath/Small_Arms_Expert_Marksmanship_Ribbon_Air_and_Space_Forces_ribbon.png?width=110"),IFERROR(IMAGE("https://commons.wikimedia.org/wiki/Special:FilePath/Small_Arms_Expert_Marksmanship_Ribbon_Air_and_Space_Forces.svg?width=110"),IFERROR(IMAGE("https://commons.wikimedia.org/wiki/Special:FilePath/Small_Arms_Expert_Marksmanship_Ribbon_Air_and_Space_Forces.png?width=110"),IFERROR(IMAGE("https://commons.wikimedia.org/wiki/Special:FilePath/Small_Arms_Expert_Marksmanship_Ribbon_ribbon.svg?width=110"),IMAGE("https://commons.wikimedia.org/wiki/Special:FilePath/Small_Arms_Expert_Marksmanship_Ribbon_ribbon.png?width=110")))))))),"")</f>
        <v/>
      </c>
      <c r="F126" s="11" t="inlineStr">
        <is>
          <t>https://commons.wikimedia.org/wiki/Special:FilePath/Air_and_Space_Forces_Small_Arms_Expert_Marksmanship_Ribbon_ribbon.svg?width=110</t>
        </is>
      </c>
      <c r="G126" s="4" t="inlineStr">
        <is>
          <t>Air and Space Forces</t>
        </is>
      </c>
      <c r="H126" s="4" t="inlineStr"/>
      <c r="I126" s="2" t="inlineStr">
        <is>
          <t>https://en.wikipedia.org/wiki/Awards_and_decorations_of_the_United_States_Armed_Forces</t>
        </is>
      </c>
    </row>
    <row r="127" ht="44" customHeight="1">
      <c r="A127" s="6" t="inlineStr">
        <is>
          <t>Currently issued</t>
        </is>
      </c>
      <c r="B127" s="6" t="inlineStr">
        <is>
          <t>Marksmanship awards</t>
        </is>
      </c>
      <c r="C127" s="9" t="n">
        <v>126</v>
      </c>
      <c r="D127" s="12" t="inlineStr">
        <is>
          <t>Navy Rifle Marksmanship Ribbon</t>
        </is>
      </c>
      <c r="E127" s="7">
        <f>IFERROR(IFERROR(IMAGE("https://commons.wikimedia.org/wiki/Special:FilePath/Navy_Rifle_Marksmanship_Ribbon_ribbon.svg?width=110"),IFERROR(IMAGE("https://commons.wikimedia.org/wiki/Special:FilePath/Navy_Rifle_Marksmanship_Ribbon_ribbon.png?width=110"),IFERROR(IMAGE("https://commons.wikimedia.org/wiki/Special:FilePath/Navy_Rifle_Marksmanship_Ribbon.svg?width=110"),IMAGE("https://commons.wikimedia.org/wiki/Special:FilePath/Navy_Rifle_Marksmanship_Ribbon.png?width=110")))),"")</f>
        <v/>
      </c>
      <c r="F127" s="11" t="inlineStr">
        <is>
          <t>https://commons.wikimedia.org/wiki/Special:FilePath/Navy_Rifle_Marksmanship_Ribbon_ribbon.svg?width=110</t>
        </is>
      </c>
      <c r="G127" s="6" t="inlineStr"/>
      <c r="H127" s="6" t="inlineStr"/>
      <c r="I127" s="2" t="inlineStr">
        <is>
          <t>https://en.wikipedia.org/wiki/Awards_and_decorations_of_the_United_States_Armed_Forces</t>
        </is>
      </c>
    </row>
    <row r="128" ht="44" customHeight="1">
      <c r="A128" s="4" t="inlineStr">
        <is>
          <t>Currently issued</t>
        </is>
      </c>
      <c r="B128" s="4" t="inlineStr">
        <is>
          <t>Marksmanship awards</t>
        </is>
      </c>
      <c r="C128" s="9" t="n">
        <v>127</v>
      </c>
      <c r="D128" s="10" t="inlineStr">
        <is>
          <t>Coast Guard Rifle Marksmanship Ribbon</t>
        </is>
      </c>
      <c r="E128" s="5">
        <f>IFERROR(IFERROR(IMAGE("https://commons.wikimedia.org/wiki/Special:FilePath/Coast_Guard_Rifle_Marksmanship_Ribbon_ribbon.svg?width=110"),IFERROR(IMAGE("https://commons.wikimedia.org/wiki/Special:FilePath/Coast_Guard_Rifle_Marksmanship_Ribbon_ribbon.png?width=110"),IFERROR(IMAGE("https://commons.wikimedia.org/wiki/Special:FilePath/Coast_Guard_Rifle_Marksmanship_Ribbon.svg?width=110"),IMAGE("https://commons.wikimedia.org/wiki/Special:FilePath/Coast_Guard_Rifle_Marksmanship_Ribbon.png?width=110")))),"")</f>
        <v/>
      </c>
      <c r="F128" s="11" t="inlineStr">
        <is>
          <t>https://commons.wikimedia.org/wiki/Special:FilePath/Coast_Guard_Rifle_Marksmanship_Ribbon_ribbon.svg?width=110</t>
        </is>
      </c>
      <c r="G128" s="4" t="inlineStr"/>
      <c r="H128" s="4" t="inlineStr"/>
      <c r="I128" s="2" t="inlineStr">
        <is>
          <t>https://en.wikipedia.org/wiki/Awards_and_decorations_of_the_United_States_Armed_Forces</t>
        </is>
      </c>
    </row>
    <row r="129" ht="44" customHeight="1">
      <c r="A129" s="6" t="inlineStr">
        <is>
          <t>Currently issued</t>
        </is>
      </c>
      <c r="B129" s="6" t="inlineStr">
        <is>
          <t>Marksmanship awards</t>
        </is>
      </c>
      <c r="C129" s="9" t="n">
        <v>128</v>
      </c>
      <c r="D129" s="12" t="inlineStr">
        <is>
          <t>Navy Pistol Marksmanship Ribbon</t>
        </is>
      </c>
      <c r="E129" s="7">
        <f>IFERROR(IFERROR(IMAGE("https://commons.wikimedia.org/wiki/Special:FilePath/Navy_Pistol_Marksmanship_Ribbon_ribbon.svg?width=110"),IFERROR(IMAGE("https://commons.wikimedia.org/wiki/Special:FilePath/Navy_Pistol_Marksmanship_Ribbon_ribbon.png?width=110"),IFERROR(IMAGE("https://commons.wikimedia.org/wiki/Special:FilePath/Navy_Pistol_Marksmanship_Ribbon.svg?width=110"),IMAGE("https://commons.wikimedia.org/wiki/Special:FilePath/Navy_Pistol_Marksmanship_Ribbon.png?width=110")))),"")</f>
        <v/>
      </c>
      <c r="F129" s="11" t="inlineStr">
        <is>
          <t>https://commons.wikimedia.org/wiki/Special:FilePath/Navy_Pistol_Marksmanship_Ribbon_ribbon.svg?width=110</t>
        </is>
      </c>
      <c r="G129" s="6" t="inlineStr"/>
      <c r="H129" s="6" t="inlineStr"/>
      <c r="I129" s="2" t="inlineStr">
        <is>
          <t>https://en.wikipedia.org/wiki/Awards_and_decorations_of_the_United_States_Armed_Forces</t>
        </is>
      </c>
    </row>
    <row r="130" ht="44" customHeight="1">
      <c r="A130" s="4" t="inlineStr">
        <is>
          <t>Currently issued</t>
        </is>
      </c>
      <c r="B130" s="4" t="inlineStr">
        <is>
          <t>Marksmanship awards</t>
        </is>
      </c>
      <c r="C130" s="9" t="n">
        <v>129</v>
      </c>
      <c r="D130" s="10" t="inlineStr">
        <is>
          <t>Coast Guard Pistol Marksmanship Ribbon</t>
        </is>
      </c>
      <c r="E130" s="5">
        <f>IFERROR(IFERROR(IMAGE("https://commons.wikimedia.org/wiki/Special:FilePath/Coast_Guard_Pistol_Marksmanship_Ribbon_ribbon.svg?width=110"),IFERROR(IMAGE("https://commons.wikimedia.org/wiki/Special:FilePath/Coast_Guard_Pistol_Marksmanship_Ribbon_ribbon.png?width=110"),IFERROR(IMAGE("https://commons.wikimedia.org/wiki/Special:FilePath/Coast_Guard_Pistol_Marksmanship_Ribbon.svg?width=110"),IMAGE("https://commons.wikimedia.org/wiki/Special:FilePath/Coast_Guard_Pistol_Marksmanship_Ribbon.png?width=110")))),"")</f>
        <v/>
      </c>
      <c r="F130" s="11" t="inlineStr">
        <is>
          <t>https://commons.wikimedia.org/wiki/Special:FilePath/Coast_Guard_Pistol_Marksmanship_Ribbon_ribbon.svg?width=110</t>
        </is>
      </c>
      <c r="G130" s="4" t="inlineStr"/>
      <c r="H130" s="4" t="inlineStr"/>
      <c r="I130" s="2" t="inlineStr">
        <is>
          <t>https://en.wikipedia.org/wiki/Awards_and_decorations_of_the_United_States_Armed_Forces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38" customWidth="1" min="4" max="4"/>
    <col width="18" customWidth="1" min="5" max="5"/>
    <col width="78" customWidth="1" min="6" max="6"/>
    <col width="20" customWidth="1" min="7" max="7"/>
    <col width="52" customWidth="1" min="8" max="8"/>
    <col width="90" customWidth="1" min="9" max="9"/>
  </cols>
  <sheetData>
    <row r="1">
      <c r="A1" s="3" t="inlineStr">
        <is>
          <t>Major Section</t>
        </is>
      </c>
      <c r="B1" s="3" t="inlineStr">
        <is>
          <t>Category</t>
        </is>
      </c>
      <c r="C1" s="8" t="inlineStr">
        <is>
          <t>Precedence No.</t>
        </is>
      </c>
      <c r="D1" s="3" t="inlineStr">
        <is>
          <t>Ribbon Name</t>
        </is>
      </c>
      <c r="E1" s="3" t="inlineStr">
        <is>
          <t>Ribbon PNG</t>
        </is>
      </c>
      <c r="F1" s="8" t="inlineStr">
        <is>
          <t>Ribbon Image URL</t>
        </is>
      </c>
      <c r="G1" s="3" t="inlineStr">
        <is>
          <t>Qualifier / Branch</t>
        </is>
      </c>
      <c r="H1" s="3" t="inlineStr">
        <is>
          <t>Notes</t>
        </is>
      </c>
      <c r="I1" s="3" t="inlineStr">
        <is>
          <t>Source URL</t>
        </is>
      </c>
    </row>
    <row r="2" ht="44" customHeight="1">
      <c r="A2" s="4" t="inlineStr">
        <is>
          <t>Inactive and obsolete awards</t>
        </is>
      </c>
      <c r="B2" s="4" t="inlineStr">
        <is>
          <t>Personal decorations</t>
        </is>
      </c>
      <c r="C2" s="9" t="n">
        <v>1</v>
      </c>
      <c r="D2" s="10" t="inlineStr">
        <is>
          <t>Certificate of Merit Medal</t>
        </is>
      </c>
      <c r="E2" s="5">
        <f>IFERROR(IFERROR(IMAGE("https://commons.wikimedia.org/wiki/Special:FilePath/Certificate_of_Merit_Medal_ribbon.svg?width=110"),IFERROR(IMAGE("https://commons.wikimedia.org/wiki/Special:FilePath/Certificate_of_Merit_Medal_ribbon.png?width=110"),IFERROR(IMAGE("https://commons.wikimedia.org/wiki/Special:FilePath/Certificate_of_Merit_Medal.svg?width=110"),IMAGE("https://commons.wikimedia.org/wiki/Special:FilePath/Certificate_of_Merit_Medal.png?width=110")))),"")</f>
        <v/>
      </c>
      <c r="F2" s="11" t="inlineStr">
        <is>
          <t>https://commons.wikimedia.org/wiki/Special:FilePath/Certificate_of_Merit_Medal_ribbon.svg?width=110</t>
        </is>
      </c>
      <c r="G2" s="4" t="inlineStr"/>
      <c r="H2" s="4" t="inlineStr"/>
      <c r="I2" s="2" t="inlineStr">
        <is>
          <t>https://en.wikipedia.org/wiki/Awards_and_decorations_of_the_United_States_Armed_Forces</t>
        </is>
      </c>
    </row>
    <row r="3" ht="44" customHeight="1">
      <c r="A3" s="6" t="inlineStr">
        <is>
          <t>Inactive and obsolete awards</t>
        </is>
      </c>
      <c r="B3" s="6" t="inlineStr">
        <is>
          <t>Personal decorations</t>
        </is>
      </c>
      <c r="C3" s="9" t="n">
        <v>2</v>
      </c>
      <c r="D3" s="12" t="inlineStr">
        <is>
          <t>Marine Corps Brevet Medal</t>
        </is>
      </c>
      <c r="E3" s="7">
        <f>IFERROR(IFERROR(IMAGE("https://commons.wikimedia.org/wiki/Special:FilePath/Marine_Corps_Brevet_Medal_ribbon.svg?width=110"),IFERROR(IMAGE("https://commons.wikimedia.org/wiki/Special:FilePath/Marine_Corps_Brevet_Medal_ribbon.png?width=110"),IFERROR(IMAGE("https://commons.wikimedia.org/wiki/Special:FilePath/Marine_Corps_Brevet_Medal.svg?width=110"),IMAGE("https://commons.wikimedia.org/wiki/Special:FilePath/Marine_Corps_Brevet_Medal.png?width=110")))),"")</f>
        <v/>
      </c>
      <c r="F3" s="11" t="inlineStr">
        <is>
          <t>https://commons.wikimedia.org/wiki/Special:FilePath/Marine_Corps_Brevet_Medal_ribbon.svg?width=110</t>
        </is>
      </c>
      <c r="G3" s="6" t="inlineStr"/>
      <c r="H3" s="6" t="inlineStr"/>
      <c r="I3" s="2" t="inlineStr">
        <is>
          <t>https://en.wikipedia.org/wiki/Awards_and_decorations_of_the_United_States_Armed_Forces</t>
        </is>
      </c>
    </row>
    <row r="4" ht="44" customHeight="1">
      <c r="A4" s="4" t="inlineStr">
        <is>
          <t>Inactive and obsolete awards</t>
        </is>
      </c>
      <c r="B4" s="4" t="inlineStr">
        <is>
          <t>Personal decorations</t>
        </is>
      </c>
      <c r="C4" s="9" t="n">
        <v>3</v>
      </c>
      <c r="D4" s="10" t="inlineStr">
        <is>
          <t>Specially Meritorious Service Medal</t>
        </is>
      </c>
      <c r="E4" s="5">
        <f>IFERROR(IFERROR(IMAGE("https://commons.wikimedia.org/wiki/Special:FilePath/Specially_Meritorious_Service_Medal_ribbon.svg?width=110"),IFERROR(IMAGE("https://commons.wikimedia.org/wiki/Special:FilePath/Specially_Meritorious_Service_Medal_ribbon.png?width=110"),IFERROR(IMAGE("https://commons.wikimedia.org/wiki/Special:FilePath/Specially_Meritorious_Service_Medal.svg?width=110"),IMAGE("https://commons.wikimedia.org/wiki/Special:FilePath/Specially_Meritorious_Service_Medal.png?width=110")))),"")</f>
        <v/>
      </c>
      <c r="F4" s="11" t="inlineStr">
        <is>
          <t>https://commons.wikimedia.org/wiki/Special:FilePath/Specially_Meritorious_Service_Medal_ribbon.svg?width=110</t>
        </is>
      </c>
      <c r="G4" s="4" t="inlineStr"/>
      <c r="H4" s="4" t="inlineStr"/>
      <c r="I4" s="2" t="inlineStr">
        <is>
          <t>https://en.wikipedia.org/wiki/Awards_and_decorations_of_the_United_States_Armed_Forces</t>
        </is>
      </c>
    </row>
    <row r="5" ht="44" customHeight="1">
      <c r="A5" s="6" t="inlineStr">
        <is>
          <t>Inactive and obsolete awards</t>
        </is>
      </c>
      <c r="B5" s="6" t="inlineStr">
        <is>
          <t>Personal decorations</t>
        </is>
      </c>
      <c r="C5" s="9" t="n">
        <v>4</v>
      </c>
      <c r="D5" s="12" t="inlineStr">
        <is>
          <t>Reserve Special Commendation Ribbon</t>
        </is>
      </c>
      <c r="E5" s="7">
        <f>IFERROR(IFERROR(IMAGE("https://commons.wikimedia.org/wiki/Special:FilePath/Reserve_Special_Commendation_Ribbon_ribbon.svg?width=110"),IFERROR(IMAGE("https://commons.wikimedia.org/wiki/Special:FilePath/Reserve_Special_Commendation_Ribbon_ribbon.png?width=110"),IFERROR(IMAGE("https://commons.wikimedia.org/wiki/Special:FilePath/Reserve_Special_Commendation_Ribbon.svg?width=110"),IMAGE("https://commons.wikimedia.org/wiki/Special:FilePath/Reserve_Special_Commendation_Ribbon.png?width=110")))),"")</f>
        <v/>
      </c>
      <c r="F5" s="11" t="inlineStr">
        <is>
          <t>https://commons.wikimedia.org/wiki/Special:FilePath/Reserve_Special_Commendation_Ribbon_ribbon.svg?width=110</t>
        </is>
      </c>
      <c r="G5" s="6" t="inlineStr"/>
      <c r="H5" s="6" t="inlineStr"/>
      <c r="I5" s="2" t="inlineStr">
        <is>
          <t>https://en.wikipedia.org/wiki/Awards_and_decorations_of_the_United_States_Armed_Forces</t>
        </is>
      </c>
    </row>
    <row r="6" ht="44" customHeight="1">
      <c r="A6" s="4" t="inlineStr">
        <is>
          <t>Inactive and obsolete awards</t>
        </is>
      </c>
      <c r="B6" s="4" t="inlineStr">
        <is>
          <t>Personal decorations</t>
        </is>
      </c>
      <c r="C6" s="9" t="n">
        <v>5</v>
      </c>
      <c r="D6" s="10" t="inlineStr">
        <is>
          <t>Army Wound Ribbon</t>
        </is>
      </c>
      <c r="E6" s="5">
        <f>IFERROR(IFERROR(IMAGE("https://commons.wikimedia.org/wiki/Special:FilePath/Army_Wound_Ribbon_ribbon.svg?width=110"),IFERROR(IMAGE("https://commons.wikimedia.org/wiki/Special:FilePath/Army_Wound_Ribbon_ribbon.png?width=110"),IFERROR(IMAGE("https://commons.wikimedia.org/wiki/Special:FilePath/Army_Wound_Ribbon.svg?width=110"),IMAGE("https://commons.wikimedia.org/wiki/Special:FilePath/Army_Wound_Ribbon.png?width=110")))),"")</f>
        <v/>
      </c>
      <c r="F6" s="11" t="inlineStr">
        <is>
          <t>https://commons.wikimedia.org/wiki/Special:FilePath/Army_Wound_Ribbon_ribbon.svg?width=110</t>
        </is>
      </c>
      <c r="G6" s="4" t="inlineStr"/>
      <c r="H6" s="4" t="inlineStr"/>
      <c r="I6" s="2" t="inlineStr">
        <is>
          <t>https://en.wikipedia.org/wiki/Awards_and_decorations_of_the_United_States_Armed_Forces</t>
        </is>
      </c>
    </row>
    <row r="7" ht="44" customHeight="1">
      <c r="A7" s="6" t="inlineStr">
        <is>
          <t>Inactive and obsolete awards</t>
        </is>
      </c>
      <c r="B7" s="6" t="inlineStr">
        <is>
          <t>Department of Transportation military awards</t>
        </is>
      </c>
      <c r="C7" s="9" t="n">
        <v>6</v>
      </c>
      <c r="D7" s="12" t="inlineStr">
        <is>
          <t>Transportation Distinguished Service Medal</t>
        </is>
      </c>
      <c r="E7" s="7">
        <f>IFERROR(IFERROR(IMAGE("https://commons.wikimedia.org/wiki/Special:FilePath/Transportation_Distinguished_Service_Medal_ribbon.svg?width=110"),IFERROR(IMAGE("https://commons.wikimedia.org/wiki/Special:FilePath/Transportation_Distinguished_Service_Medal_ribbon.png?width=110"),IFERROR(IMAGE("https://commons.wikimedia.org/wiki/Special:FilePath/Transportation_Distinguished_Service_Medal.svg?width=110"),IMAGE("https://commons.wikimedia.org/wiki/Special:FilePath/Transportation_Distinguished_Service_Medal.png?width=110")))),"")</f>
        <v/>
      </c>
      <c r="F7" s="11" t="inlineStr">
        <is>
          <t>https://commons.wikimedia.org/wiki/Special:FilePath/Transportation_Distinguished_Service_Medal_ribbon.svg?width=110</t>
        </is>
      </c>
      <c r="G7" s="6" t="inlineStr"/>
      <c r="H7" s="6" t="inlineStr"/>
      <c r="I7" s="2" t="inlineStr">
        <is>
          <t>https://en.wikipedia.org/wiki/Awards_and_decorations_of_the_United_States_Armed_Forces</t>
        </is>
      </c>
    </row>
    <row r="8" ht="44" customHeight="1">
      <c r="A8" s="4" t="inlineStr">
        <is>
          <t>Inactive and obsolete awards</t>
        </is>
      </c>
      <c r="B8" s="4" t="inlineStr">
        <is>
          <t>Department of Transportation military awards</t>
        </is>
      </c>
      <c r="C8" s="9" t="n">
        <v>7</v>
      </c>
      <c r="D8" s="10" t="inlineStr">
        <is>
          <t>Secretary of Transportation Outstanding Unit Award</t>
        </is>
      </c>
      <c r="E8" s="5">
        <f>IFERROR(IFERROR(IMAGE("https://commons.wikimedia.org/wiki/Special:FilePath/Secretary_of_Transportation_Outstanding_Unit_Award_ribbon.svg?width=110"),IFERROR(IMAGE("https://commons.wikimedia.org/wiki/Special:FilePath/Secretary_of_Transportation_Outstanding_Unit_Award_ribbon.png?width=110"),IFERROR(IMAGE("https://commons.wikimedia.org/wiki/Special:FilePath/Secretary_of_Transportation_Outstanding_Unit_Award.svg?width=110"),IMAGE("https://commons.wikimedia.org/wiki/Special:FilePath/Secretary_of_Transportation_Outstanding_Unit_Award.png?width=110")))),"")</f>
        <v/>
      </c>
      <c r="F8" s="11" t="inlineStr">
        <is>
          <t>https://commons.wikimedia.org/wiki/Special:FilePath/Secretary_of_Transportation_Outstanding_Unit_Award_ribbon.svg?width=110</t>
        </is>
      </c>
      <c r="G8" s="4" t="inlineStr"/>
      <c r="H8" s="4" t="inlineStr"/>
      <c r="I8" s="2" t="inlineStr">
        <is>
          <t>https://en.wikipedia.org/wiki/Awards_and_decorations_of_the_United_States_Armed_Forces</t>
        </is>
      </c>
    </row>
    <row r="9" ht="44" customHeight="1">
      <c r="A9" s="6" t="inlineStr">
        <is>
          <t>Inactive and obsolete awards</t>
        </is>
      </c>
      <c r="B9" s="6" t="inlineStr">
        <is>
          <t>Department of Transportation military awards</t>
        </is>
      </c>
      <c r="C9" s="9" t="n">
        <v>8</v>
      </c>
      <c r="D9" s="12" t="inlineStr">
        <is>
          <t>Coast Guard Bicentennial Unit Commendation</t>
        </is>
      </c>
      <c r="E9" s="7">
        <f>IFERROR(IFERROR(IMAGE("https://commons.wikimedia.org/wiki/Special:FilePath/Coast_Guard_Bicentennial_Unit_Commendation_ribbon.svg?width=110"),IFERROR(IMAGE("https://commons.wikimedia.org/wiki/Special:FilePath/Coast_Guard_Bicentennial_Unit_Commendation_ribbon.png?width=110"),IFERROR(IMAGE("https://commons.wikimedia.org/wiki/Special:FilePath/Coast_Guard_Bicentennial_Unit_Commendation.svg?width=110"),IMAGE("https://commons.wikimedia.org/wiki/Special:FilePath/Coast_Guard_Bicentennial_Unit_Commendation.png?width=110")))),"")</f>
        <v/>
      </c>
      <c r="F9" s="11" t="inlineStr">
        <is>
          <t>https://commons.wikimedia.org/wiki/Special:FilePath/Coast_Guard_Bicentennial_Unit_Commendation_ribbon.svg?width=110</t>
        </is>
      </c>
      <c r="G9" s="6" t="inlineStr"/>
      <c r="H9" s="6" t="inlineStr"/>
      <c r="I9" s="2" t="inlineStr">
        <is>
          <t>https://en.wikipedia.org/wiki/Awards_and_decorations_of_the_United_States_Armed_Forces</t>
        </is>
      </c>
    </row>
    <row r="10" ht="44" customHeight="1">
      <c r="A10" s="4" t="inlineStr">
        <is>
          <t>Inactive and obsolete awards</t>
        </is>
      </c>
      <c r="B10" s="4" t="inlineStr">
        <is>
          <t>19th and early 20th century commemorative medals</t>
        </is>
      </c>
      <c r="C10" s="9" t="n">
        <v>9</v>
      </c>
      <c r="D10" s="10" t="inlineStr">
        <is>
          <t>West Indies Naval Campaign Medal (Sampson Medal)</t>
        </is>
      </c>
      <c r="E10" s="5">
        <f>IFERROR(IFERROR(IMAGE("https://commons.wikimedia.org/wiki/Special:FilePath/West_Indies_Naval_Campaign_Medal_Sampson_Medal_ribbon.svg?width=110"),IFERROR(IMAGE("https://commons.wikimedia.org/wiki/Special:FilePath/West_Indies_Naval_Campaign_Medal_Sampson_Medal_ribbon.png?width=110"),IFERROR(IMAGE("https://commons.wikimedia.org/wiki/Special:FilePath/West_Indies_Naval_Campaign_Medal_Sampson_Medal.svg?width=110"),IFERROR(IMAGE("https://commons.wikimedia.org/wiki/Special:FilePath/West_Indies_Naval_Campaign_Medal_Sampson_Medal.png?width=110"),IFERROR(IMAGE("https://commons.wikimedia.org/wiki/Special:FilePath/West_Indies_Naval_Campaign_Sampson_Medal_ribbon.svg?width=110"),IMAGE("https://commons.wikimedia.org/wiki/Special:FilePath/West_Indies_Naval_Campaign_Sampson_Medal_ribbon.png?width=110")))))),"")</f>
        <v/>
      </c>
      <c r="F10" s="11" t="inlineStr">
        <is>
          <t>https://commons.wikimedia.org/wiki/Special:FilePath/West_Indies_Naval_Campaign_Medal_Sampson_Medal_ribbon.svg?width=110</t>
        </is>
      </c>
      <c r="G10" s="4" t="inlineStr"/>
      <c r="H10" s="4" t="inlineStr"/>
      <c r="I10" s="2" t="inlineStr">
        <is>
          <t>https://en.wikipedia.org/wiki/Awards_and_decorations_of_the_United_States_Armed_Forces</t>
        </is>
      </c>
    </row>
    <row r="11" ht="44" customHeight="1">
      <c r="A11" s="6" t="inlineStr">
        <is>
          <t>Inactive and obsolete awards</t>
        </is>
      </c>
      <c r="B11" s="6" t="inlineStr">
        <is>
          <t>19th and early 20th century commemorative medals</t>
        </is>
      </c>
      <c r="C11" s="9" t="n">
        <v>10</v>
      </c>
      <c r="D11" s="12" t="inlineStr">
        <is>
          <t>Battle of Manila Bay Medal</t>
        </is>
      </c>
      <c r="E11" s="7">
        <f>IFERROR(IFERROR(IMAGE("https://commons.wikimedia.org/wiki/Special:FilePath/Battle_of_Manila_Bay_Medal_ribbon.svg?width=110"),IFERROR(IMAGE("https://commons.wikimedia.org/wiki/Special:FilePath/Battle_of_Manila_Bay_Medal_ribbon.png?width=110"),IFERROR(IMAGE("https://commons.wikimedia.org/wiki/Special:FilePath/Battle_of_Manila_Bay_Medal.svg?width=110"),IMAGE("https://commons.wikimedia.org/wiki/Special:FilePath/Battle_of_Manila_Bay_Medal.png?width=110")))),"")</f>
        <v/>
      </c>
      <c r="F11" s="11" t="inlineStr">
        <is>
          <t>https://commons.wikimedia.org/wiki/Special:FilePath/Battle_of_Manila_Bay_Medal_ribbon.svg?width=110</t>
        </is>
      </c>
      <c r="G11" s="6" t="inlineStr"/>
      <c r="H11" s="6" t="inlineStr"/>
      <c r="I11" s="2" t="inlineStr">
        <is>
          <t>https://en.wikipedia.org/wiki/Awards_and_decorations_of_the_United_States_Armed_Forces</t>
        </is>
      </c>
    </row>
    <row r="12" ht="44" customHeight="1">
      <c r="A12" s="4" t="inlineStr">
        <is>
          <t>Inactive and obsolete awards</t>
        </is>
      </c>
      <c r="B12" s="4" t="inlineStr">
        <is>
          <t>19th and early 20th century commemorative medals</t>
        </is>
      </c>
      <c r="C12" s="9" t="n">
        <v>11</v>
      </c>
      <c r="D12" s="10" t="inlineStr">
        <is>
          <t>United States Antarctic Expedition Medal</t>
        </is>
      </c>
      <c r="E12" s="5">
        <f>IFERROR(IFERROR(IMAGE("https://commons.wikimedia.org/wiki/Special:FilePath/United_States_Antarctic_Expedition_Medal_ribbon.svg?width=110"),IFERROR(IMAGE("https://commons.wikimedia.org/wiki/Special:FilePath/United_States_Antarctic_Expedition_Medal_ribbon.png?width=110"),IFERROR(IMAGE("https://commons.wikimedia.org/wiki/Special:FilePath/United_States_Antarctic_Expedition_Medal.svg?width=110"),IMAGE("https://commons.wikimedia.org/wiki/Special:FilePath/United_States_Antarctic_Expedition_Medal.png?width=110")))),"")</f>
        <v/>
      </c>
      <c r="F12" s="11" t="inlineStr">
        <is>
          <t>https://commons.wikimedia.org/wiki/Special:FilePath/United_States_Antarctic_Expedition_Medal_ribbon.svg?width=110</t>
        </is>
      </c>
      <c r="G12" s="4" t="inlineStr"/>
      <c r="H12" s="4" t="inlineStr"/>
      <c r="I12" s="2" t="inlineStr">
        <is>
          <t>https://en.wikipedia.org/wiki/Awards_and_decorations_of_the_United_States_Armed_Forces</t>
        </is>
      </c>
    </row>
    <row r="13" ht="44" customHeight="1">
      <c r="A13" s="6" t="inlineStr">
        <is>
          <t>Inactive and obsolete awards</t>
        </is>
      </c>
      <c r="B13" s="6" t="inlineStr">
        <is>
          <t>19th and early 20th century campaign medals</t>
        </is>
      </c>
      <c r="C13" s="9" t="n">
        <v>12</v>
      </c>
      <c r="D13" s="12" t="inlineStr">
        <is>
          <t>Civil War Campaign Medal</t>
        </is>
      </c>
      <c r="E13" s="7">
        <f>IFERROR(IFERROR(IMAGE("https://commons.wikimedia.org/wiki/Special:FilePath/Civil_War_Campaign_Medal_ribbon.svg?width=110"),IFERROR(IMAGE("https://commons.wikimedia.org/wiki/Special:FilePath/Civil_War_Campaign_Medal_ribbon.png?width=110"),IFERROR(IMAGE("https://commons.wikimedia.org/wiki/Special:FilePath/Civil_War_Campaign_Medal.svg?width=110"),IMAGE("https://commons.wikimedia.org/wiki/Special:FilePath/Civil_War_Campaign_Medal.png?width=110")))),"")</f>
        <v/>
      </c>
      <c r="F13" s="11" t="inlineStr">
        <is>
          <t>https://commons.wikimedia.org/wiki/Special:FilePath/Civil_War_Campaign_Medal_ribbon.svg?width=110</t>
        </is>
      </c>
      <c r="G13" s="6" t="inlineStr"/>
      <c r="H13" s="6" t="inlineStr"/>
      <c r="I13" s="2" t="inlineStr">
        <is>
          <t>https://en.wikipedia.org/wiki/Awards_and_decorations_of_the_United_States_Armed_Forces</t>
        </is>
      </c>
    </row>
    <row r="14" ht="44" customHeight="1">
      <c r="A14" s="4" t="inlineStr">
        <is>
          <t>Inactive and obsolete awards</t>
        </is>
      </c>
      <c r="B14" s="4" t="inlineStr">
        <is>
          <t>19th and early 20th century campaign medals</t>
        </is>
      </c>
      <c r="C14" s="9" t="n">
        <v>13</v>
      </c>
      <c r="D14" s="10" t="inlineStr">
        <is>
          <t>Indian Campaign Medal</t>
        </is>
      </c>
      <c r="E14" s="5">
        <f>IFERROR(IFERROR(IMAGE("https://commons.wikimedia.org/wiki/Special:FilePath/Indian_Campaign_Medal_ribbon.svg?width=110"),IFERROR(IMAGE("https://commons.wikimedia.org/wiki/Special:FilePath/Indian_Campaign_Medal_ribbon.png?width=110"),IFERROR(IMAGE("https://commons.wikimedia.org/wiki/Special:FilePath/Indian_Campaign_Medal.svg?width=110"),IMAGE("https://commons.wikimedia.org/wiki/Special:FilePath/Indian_Campaign_Medal.png?width=110")))),"")</f>
        <v/>
      </c>
      <c r="F14" s="11" t="inlineStr">
        <is>
          <t>https://commons.wikimedia.org/wiki/Special:FilePath/Indian_Campaign_Medal_ribbon.svg?width=110</t>
        </is>
      </c>
      <c r="G14" s="4" t="inlineStr"/>
      <c r="H14" s="4" t="inlineStr"/>
      <c r="I14" s="2" t="inlineStr">
        <is>
          <t>https://en.wikipedia.org/wiki/Awards_and_decorations_of_the_United_States_Armed_Forces</t>
        </is>
      </c>
    </row>
    <row r="15" ht="44" customHeight="1">
      <c r="A15" s="6" t="inlineStr">
        <is>
          <t>Inactive and obsolete awards</t>
        </is>
      </c>
      <c r="B15" s="6" t="inlineStr">
        <is>
          <t>19th and early 20th century campaign medals</t>
        </is>
      </c>
      <c r="C15" s="9" t="n">
        <v>14</v>
      </c>
      <c r="D15" s="12" t="inlineStr">
        <is>
          <t>China Campaign Medal</t>
        </is>
      </c>
      <c r="E15" s="7">
        <f>IFERROR(IFERROR(IMAGE("https://commons.wikimedia.org/wiki/Special:FilePath/China_Campaign_Medal_ribbon.svg?width=110"),IFERROR(IMAGE("https://commons.wikimedia.org/wiki/Special:FilePath/China_Campaign_Medal_ribbon.png?width=110"),IFERROR(IMAGE("https://commons.wikimedia.org/wiki/Special:FilePath/China_Campaign_Medal.svg?width=110"),IMAGE("https://commons.wikimedia.org/wiki/Special:FilePath/China_Campaign_Medal.png?width=110")))),"")</f>
        <v/>
      </c>
      <c r="F15" s="11" t="inlineStr">
        <is>
          <t>https://commons.wikimedia.org/wiki/Special:FilePath/China_Campaign_Medal_ribbon.svg?width=110</t>
        </is>
      </c>
      <c r="G15" s="6" t="inlineStr"/>
      <c r="H15" s="6" t="inlineStr"/>
      <c r="I15" s="2" t="inlineStr">
        <is>
          <t>https://en.wikipedia.org/wiki/Awards_and_decorations_of_the_United_States_Armed_Forces</t>
        </is>
      </c>
    </row>
    <row r="16" ht="44" customHeight="1">
      <c r="A16" s="4" t="inlineStr">
        <is>
          <t>Inactive and obsolete awards</t>
        </is>
      </c>
      <c r="B16" s="4" t="inlineStr">
        <is>
          <t>19th and early 20th century campaign medals</t>
        </is>
      </c>
      <c r="C16" s="9" t="n">
        <v>15</v>
      </c>
      <c r="D16" s="10" t="inlineStr">
        <is>
          <t>China Relief Expedition Medal</t>
        </is>
      </c>
      <c r="E16" s="5">
        <f>IFERROR(IFERROR(IMAGE("https://commons.wikimedia.org/wiki/Special:FilePath/China_Relief_Expedition_Medal_ribbon.svg?width=110"),IFERROR(IMAGE("https://commons.wikimedia.org/wiki/Special:FilePath/China_Relief_Expedition_Medal_ribbon.png?width=110"),IFERROR(IMAGE("https://commons.wikimedia.org/wiki/Special:FilePath/China_Relief_Expedition_Medal.svg?width=110"),IMAGE("https://commons.wikimedia.org/wiki/Special:FilePath/China_Relief_Expedition_Medal.png?width=110")))),"")</f>
        <v/>
      </c>
      <c r="F16" s="11" t="inlineStr">
        <is>
          <t>https://commons.wikimedia.org/wiki/Special:FilePath/China_Relief_Expedition_Medal_ribbon.svg?width=110</t>
        </is>
      </c>
      <c r="G16" s="4" t="inlineStr"/>
      <c r="H16" s="4" t="inlineStr"/>
      <c r="I16" s="2" t="inlineStr">
        <is>
          <t>https://en.wikipedia.org/wiki/Awards_and_decorations_of_the_United_States_Armed_Forces</t>
        </is>
      </c>
    </row>
    <row r="17" ht="44" customHeight="1">
      <c r="A17" s="6" t="inlineStr">
        <is>
          <t>Inactive and obsolete awards</t>
        </is>
      </c>
      <c r="B17" s="6" t="inlineStr">
        <is>
          <t>Spanish-American War campaign and occupation medals</t>
        </is>
      </c>
      <c r="C17" s="9" t="n">
        <v>16</v>
      </c>
      <c r="D17" s="12" t="inlineStr">
        <is>
          <t>Spanish Campaign Medal</t>
        </is>
      </c>
      <c r="E17" s="7">
        <f>IFERROR(IFERROR(IMAGE("https://commons.wikimedia.org/wiki/Special:FilePath/Spanish_Campaign_Medal_ribbon.svg?width=110"),IFERROR(IMAGE("https://commons.wikimedia.org/wiki/Special:FilePath/Spanish_Campaign_Medal_ribbon.png?width=110"),IFERROR(IMAGE("https://commons.wikimedia.org/wiki/Special:FilePath/Spanish_Campaign_Medal.svg?width=110"),IMAGE("https://commons.wikimedia.org/wiki/Special:FilePath/Spanish_Campaign_Medal.png?width=110")))),"")</f>
        <v/>
      </c>
      <c r="F17" s="11" t="inlineStr">
        <is>
          <t>https://commons.wikimedia.org/wiki/Special:FilePath/Spanish_Campaign_Medal_ribbon.svg?width=110</t>
        </is>
      </c>
      <c r="G17" s="6" t="inlineStr"/>
      <c r="H17" s="6" t="inlineStr"/>
      <c r="I17" s="2" t="inlineStr">
        <is>
          <t>https://en.wikipedia.org/wiki/Awards_and_decorations_of_the_United_States_Armed_Forces</t>
        </is>
      </c>
    </row>
    <row r="18" ht="44" customHeight="1">
      <c r="A18" s="4" t="inlineStr">
        <is>
          <t>Inactive and obsolete awards</t>
        </is>
      </c>
      <c r="B18" s="4" t="inlineStr">
        <is>
          <t>Spanish-American War campaign and occupation medals</t>
        </is>
      </c>
      <c r="C18" s="9" t="n">
        <v>17</v>
      </c>
      <c r="D18" s="10" t="inlineStr">
        <is>
          <t>West Indies Campaign Medal</t>
        </is>
      </c>
      <c r="E18" s="5">
        <f>IFERROR(IFERROR(IMAGE("https://commons.wikimedia.org/wiki/Special:FilePath/West_Indies_Campaign_Medal_ribbon.svg?width=110"),IFERROR(IMAGE("https://commons.wikimedia.org/wiki/Special:FilePath/West_Indies_Campaign_Medal_ribbon.png?width=110"),IFERROR(IMAGE("https://commons.wikimedia.org/wiki/Special:FilePath/West_Indies_Campaign_Medal.svg?width=110"),IMAGE("https://commons.wikimedia.org/wiki/Special:FilePath/West_Indies_Campaign_Medal.png?width=110")))),"")</f>
        <v/>
      </c>
      <c r="F18" s="11" t="inlineStr">
        <is>
          <t>https://commons.wikimedia.org/wiki/Special:FilePath/West_Indies_Campaign_Medal_ribbon.svg?width=110</t>
        </is>
      </c>
      <c r="G18" s="4" t="inlineStr"/>
      <c r="H18" s="4" t="inlineStr"/>
      <c r="I18" s="2" t="inlineStr">
        <is>
          <t>https://en.wikipedia.org/wiki/Awards_and_decorations_of_the_United_States_Armed_Forces</t>
        </is>
      </c>
    </row>
    <row r="19" ht="44" customHeight="1">
      <c r="A19" s="6" t="inlineStr">
        <is>
          <t>Inactive and obsolete awards</t>
        </is>
      </c>
      <c r="B19" s="6" t="inlineStr">
        <is>
          <t>Spanish-American War campaign and occupation medals</t>
        </is>
      </c>
      <c r="C19" s="9" t="n">
        <v>18</v>
      </c>
      <c r="D19" s="12" t="inlineStr">
        <is>
          <t>Spanish War Service Medal</t>
        </is>
      </c>
      <c r="E19" s="7">
        <f>IFERROR(IFERROR(IMAGE("https://commons.wikimedia.org/wiki/Special:FilePath/Spanish_War_Service_Medal_ribbon.svg?width=110"),IFERROR(IMAGE("https://commons.wikimedia.org/wiki/Special:FilePath/Spanish_War_Service_Medal_ribbon.png?width=110"),IFERROR(IMAGE("https://commons.wikimedia.org/wiki/Special:FilePath/Spanish_War_Service_Medal.svg?width=110"),IMAGE("https://commons.wikimedia.org/wiki/Special:FilePath/Spanish_War_Service_Medal.png?width=110")))),"")</f>
        <v/>
      </c>
      <c r="F19" s="11" t="inlineStr">
        <is>
          <t>https://commons.wikimedia.org/wiki/Special:FilePath/Spanish_War_Service_Medal_ribbon.svg?width=110</t>
        </is>
      </c>
      <c r="G19" s="6" t="inlineStr"/>
      <c r="H19" s="6" t="inlineStr"/>
      <c r="I19" s="2" t="inlineStr">
        <is>
          <t>https://en.wikipedia.org/wiki/Awards_and_decorations_of_the_United_States_Armed_Forces</t>
        </is>
      </c>
    </row>
    <row r="20" ht="44" customHeight="1">
      <c r="A20" s="4" t="inlineStr">
        <is>
          <t>Inactive and obsolete awards</t>
        </is>
      </c>
      <c r="B20" s="4" t="inlineStr">
        <is>
          <t>Spanish-American War campaign and occupation medals</t>
        </is>
      </c>
      <c r="C20" s="9" t="n">
        <v>19</v>
      </c>
      <c r="D20" s="10" t="inlineStr">
        <is>
          <t>Army of Cuban Occupation Medal</t>
        </is>
      </c>
      <c r="E20" s="5">
        <f>IFERROR(IFERROR(IMAGE("https://commons.wikimedia.org/wiki/Special:FilePath/Army_of_Cuban_Occupation_Medal_ribbon.svg?width=110"),IFERROR(IMAGE("https://commons.wikimedia.org/wiki/Special:FilePath/Army_of_Cuban_Occupation_Medal_ribbon.png?width=110"),IFERROR(IMAGE("https://commons.wikimedia.org/wiki/Special:FilePath/Army_of_Cuban_Occupation_Medal.svg?width=110"),IMAGE("https://commons.wikimedia.org/wiki/Special:FilePath/Army_of_Cuban_Occupation_Medal.png?width=110")))),"")</f>
        <v/>
      </c>
      <c r="F20" s="11" t="inlineStr">
        <is>
          <t>https://commons.wikimedia.org/wiki/Special:FilePath/Army_of_Cuban_Occupation_Medal_ribbon.svg?width=110</t>
        </is>
      </c>
      <c r="G20" s="4" t="inlineStr"/>
      <c r="H20" s="4" t="inlineStr"/>
      <c r="I20" s="2" t="inlineStr">
        <is>
          <t>https://en.wikipedia.org/wiki/Awards_and_decorations_of_the_United_States_Armed_Forces</t>
        </is>
      </c>
    </row>
    <row r="21" ht="44" customHeight="1">
      <c r="A21" s="6" t="inlineStr">
        <is>
          <t>Inactive and obsolete awards</t>
        </is>
      </c>
      <c r="B21" s="6" t="inlineStr">
        <is>
          <t>Spanish-American War campaign and occupation medals</t>
        </is>
      </c>
      <c r="C21" s="9" t="n">
        <v>20</v>
      </c>
      <c r="D21" s="12" t="inlineStr">
        <is>
          <t>Cuban Pacification Medal</t>
        </is>
      </c>
      <c r="E21" s="7">
        <f>IFERROR(IFERROR(IMAGE("https://commons.wikimedia.org/wiki/Special:FilePath/Army_Cuban_Pacification_Medal_ribbon.svg?width=110"),IFERROR(IMAGE("https://commons.wikimedia.org/wiki/Special:FilePath/Army_Cuban_Pacification_Medal_ribbon.png?width=110"),IFERROR(IMAGE("https://commons.wikimedia.org/wiki/Special:FilePath/Cuban_Pacification_Medal_Army_ribbon.svg?width=110"),IFERROR(IMAGE("https://commons.wikimedia.org/wiki/Special:FilePath/Cuban_Pacification_Medal_Army_ribbon.png?width=110"),IFERROR(IMAGE("https://commons.wikimedia.org/wiki/Special:FilePath/Cuban_Pacification_Medal_Army.svg?width=110"),IFERROR(IMAGE("https://commons.wikimedia.org/wiki/Special:FilePath/Cuban_Pacification_Medal_Army.png?width=110"),IFERROR(IMAGE("https://commons.wikimedia.org/wiki/Special:FilePath/Cuban_Pacification_Medal_ribbon.svg?width=110"),IMAGE("https://commons.wikimedia.org/wiki/Special:FilePath/Cuban_Pacification_Medal_ribbon.png?width=110")))))))),"")</f>
        <v/>
      </c>
      <c r="F21" s="11" t="inlineStr">
        <is>
          <t>https://commons.wikimedia.org/wiki/Special:FilePath/Army_Cuban_Pacification_Medal_ribbon.svg?width=110</t>
        </is>
      </c>
      <c r="G21" s="6" t="inlineStr">
        <is>
          <t>Army</t>
        </is>
      </c>
      <c r="H21" s="6" t="inlineStr"/>
      <c r="I21" s="2" t="inlineStr">
        <is>
          <t>https://en.wikipedia.org/wiki/Awards_and_decorations_of_the_United_States_Armed_Forces</t>
        </is>
      </c>
    </row>
    <row r="22" ht="44" customHeight="1">
      <c r="A22" s="4" t="inlineStr">
        <is>
          <t>Inactive and obsolete awards</t>
        </is>
      </c>
      <c r="B22" s="4" t="inlineStr">
        <is>
          <t>Spanish-American War campaign and occupation medals</t>
        </is>
      </c>
      <c r="C22" s="9" t="n">
        <v>21</v>
      </c>
      <c r="D22" s="10" t="inlineStr">
        <is>
          <t>Cuban Pacification Medal</t>
        </is>
      </c>
      <c r="E22" s="5">
        <f>IFERROR(IFERROR(IMAGE("https://commons.wikimedia.org/wiki/Special:FilePath/Navy_Cuban_Pacification_Medal_ribbon.svg?width=110"),IFERROR(IMAGE("https://commons.wikimedia.org/wiki/Special:FilePath/Navy_Cuban_Pacification_Medal_ribbon.png?width=110"),IFERROR(IMAGE("https://commons.wikimedia.org/wiki/Special:FilePath/Cuban_Pacification_Medal_Navy_ribbon.svg?width=110"),IFERROR(IMAGE("https://commons.wikimedia.org/wiki/Special:FilePath/Cuban_Pacification_Medal_Navy_ribbon.png?width=110"),IFERROR(IMAGE("https://commons.wikimedia.org/wiki/Special:FilePath/Cuban_Pacification_Medal_Navy.svg?width=110"),IFERROR(IMAGE("https://commons.wikimedia.org/wiki/Special:FilePath/Cuban_Pacification_Medal_Navy.png?width=110"),IFERROR(IMAGE("https://commons.wikimedia.org/wiki/Special:FilePath/Cuban_Pacification_Medal_ribbon.svg?width=110"),IMAGE("https://commons.wikimedia.org/wiki/Special:FilePath/Cuban_Pacification_Medal_ribbon.png?width=110")))))))),"")</f>
        <v/>
      </c>
      <c r="F22" s="11" t="inlineStr">
        <is>
          <t>https://commons.wikimedia.org/wiki/Special:FilePath/Navy_Cuban_Pacification_Medal_ribbon.svg?width=110</t>
        </is>
      </c>
      <c r="G22" s="4" t="inlineStr">
        <is>
          <t>Navy</t>
        </is>
      </c>
      <c r="H22" s="4" t="inlineStr"/>
      <c r="I22" s="2" t="inlineStr">
        <is>
          <t>https://en.wikipedia.org/wiki/Awards_and_decorations_of_the_United_States_Armed_Forces</t>
        </is>
      </c>
    </row>
    <row r="23" ht="44" customHeight="1">
      <c r="A23" s="6" t="inlineStr">
        <is>
          <t>Inactive and obsolete awards</t>
        </is>
      </c>
      <c r="B23" s="6" t="inlineStr">
        <is>
          <t>Spanish-American War campaign and occupation medals</t>
        </is>
      </c>
      <c r="C23" s="9" t="n">
        <v>22</v>
      </c>
      <c r="D23" s="12" t="inlineStr">
        <is>
          <t>Army of Puerto Rican Occupation Medal</t>
        </is>
      </c>
      <c r="E23" s="7">
        <f>IFERROR(IFERROR(IMAGE("https://commons.wikimedia.org/wiki/Special:FilePath/Army_of_Puerto_Rican_Occupation_Medal_ribbon.svg?width=110"),IFERROR(IMAGE("https://commons.wikimedia.org/wiki/Special:FilePath/Army_of_Puerto_Rican_Occupation_Medal_ribbon.png?width=110"),IFERROR(IMAGE("https://commons.wikimedia.org/wiki/Special:FilePath/Army_of_Puerto_Rican_Occupation_Medal.svg?width=110"),IMAGE("https://commons.wikimedia.org/wiki/Special:FilePath/Army_of_Puerto_Rican_Occupation_Medal.png?width=110")))),"")</f>
        <v/>
      </c>
      <c r="F23" s="11" t="inlineStr">
        <is>
          <t>https://commons.wikimedia.org/wiki/Special:FilePath/Army_of_Puerto_Rican_Occupation_Medal_ribbon.svg?width=110</t>
        </is>
      </c>
      <c r="G23" s="6" t="inlineStr"/>
      <c r="H23" s="6" t="inlineStr"/>
      <c r="I23" s="2" t="inlineStr">
        <is>
          <t>https://en.wikipedia.org/wiki/Awards_and_decorations_of_the_United_States_Armed_Forces</t>
        </is>
      </c>
    </row>
    <row r="24" ht="44" customHeight="1">
      <c r="A24" s="4" t="inlineStr">
        <is>
          <t>Inactive and obsolete awards</t>
        </is>
      </c>
      <c r="B24" s="4" t="inlineStr">
        <is>
          <t>Philippine-American War campaign medals</t>
        </is>
      </c>
      <c r="C24" s="9" t="n">
        <v>23</v>
      </c>
      <c r="D24" s="10" t="inlineStr">
        <is>
          <t>Philippine Campaign Medal</t>
        </is>
      </c>
      <c r="E24" s="5">
        <f>IFERROR(IFERROR(IMAGE("https://commons.wikimedia.org/wiki/Special:FilePath/Philippine_Campaign_Medal_ribbon.svg?width=110"),IFERROR(IMAGE("https://commons.wikimedia.org/wiki/Special:FilePath/Philippine_Campaign_Medal_ribbon.png?width=110"),IFERROR(IMAGE("https://commons.wikimedia.org/wiki/Special:FilePath/Philippine_Campaign_Medal.svg?width=110"),IMAGE("https://commons.wikimedia.org/wiki/Special:FilePath/Philippine_Campaign_Medal.png?width=110")))),"")</f>
        <v/>
      </c>
      <c r="F24" s="11" t="inlineStr">
        <is>
          <t>https://commons.wikimedia.org/wiki/Special:FilePath/Philippine_Campaign_Medal_ribbon.svg?width=110</t>
        </is>
      </c>
      <c r="G24" s="4" t="inlineStr"/>
      <c r="H24" s="4" t="inlineStr"/>
      <c r="I24" s="2" t="inlineStr">
        <is>
          <t>https://en.wikipedia.org/wiki/Awards_and_decorations_of_the_United_States_Armed_Forces</t>
        </is>
      </c>
    </row>
    <row r="25" ht="44" customHeight="1">
      <c r="A25" s="6" t="inlineStr">
        <is>
          <t>Inactive and obsolete awards</t>
        </is>
      </c>
      <c r="B25" s="6" t="inlineStr">
        <is>
          <t>Philippine-American War campaign medals</t>
        </is>
      </c>
      <c r="C25" s="9" t="n">
        <v>24</v>
      </c>
      <c r="D25" s="12" t="inlineStr">
        <is>
          <t>Philippine Congressional Medal</t>
        </is>
      </c>
      <c r="E25" s="7">
        <f>IFERROR(IFERROR(IMAGE("https://commons.wikimedia.org/wiki/Special:FilePath/Philippine_Congressional_Medal_ribbon.svg?width=110"),IFERROR(IMAGE("https://commons.wikimedia.org/wiki/Special:FilePath/Philippine_Congressional_Medal_ribbon.png?width=110"),IFERROR(IMAGE("https://commons.wikimedia.org/wiki/Special:FilePath/Philippine_Congressional_Medal.svg?width=110"),IMAGE("https://commons.wikimedia.org/wiki/Special:FilePath/Philippine_Congressional_Medal.png?width=110")))),"")</f>
        <v/>
      </c>
      <c r="F25" s="11" t="inlineStr">
        <is>
          <t>https://commons.wikimedia.org/wiki/Special:FilePath/Philippine_Congressional_Medal_ribbon.svg?width=110</t>
        </is>
      </c>
      <c r="G25" s="6" t="inlineStr"/>
      <c r="H25" s="6" t="inlineStr"/>
      <c r="I25" s="2" t="inlineStr">
        <is>
          <t>https://en.wikipedia.org/wiki/Awards_and_decorations_of_the_United_States_Armed_Forces</t>
        </is>
      </c>
    </row>
    <row r="26" ht="44" customHeight="1">
      <c r="A26" s="4" t="inlineStr">
        <is>
          <t>Inactive and obsolete awards</t>
        </is>
      </c>
      <c r="B26" s="4" t="inlineStr">
        <is>
          <t>Navy and Marine Corps expedition medals</t>
        </is>
      </c>
      <c r="C26" s="9" t="n">
        <v>25</v>
      </c>
      <c r="D26" s="10" t="inlineStr">
        <is>
          <t>Nicaraguan Campaign Medal</t>
        </is>
      </c>
      <c r="E26" s="5">
        <f>IFERROR(IFERROR(IMAGE("https://commons.wikimedia.org/wiki/Special:FilePath/1912_Nicaraguan_Campaign_Medal_ribbon.svg?width=110"),IFERROR(IMAGE("https://commons.wikimedia.org/wiki/Special:FilePath/1912_Nicaraguan_Campaign_Medal_ribbon.png?width=110"),IFERROR(IMAGE("https://commons.wikimedia.org/wiki/Special:FilePath/Nicaraguan_Campaign_Medal_1912_ribbon.svg?width=110"),IFERROR(IMAGE("https://commons.wikimedia.org/wiki/Special:FilePath/Nicaraguan_Campaign_Medal_1912_ribbon.png?width=110"),IFERROR(IMAGE("https://commons.wikimedia.org/wiki/Special:FilePath/Nicaraguan_Campaign_Medal_1912.svg?width=110"),IFERROR(IMAGE("https://commons.wikimedia.org/wiki/Special:FilePath/Nicaraguan_Campaign_Medal_1912.png?width=110"),IFERROR(IMAGE("https://commons.wikimedia.org/wiki/Special:FilePath/Nicaraguan_Campaign_Medal_ribbon.svg?width=110"),IMAGE("https://commons.wikimedia.org/wiki/Special:FilePath/Nicaraguan_Campaign_Medal_ribbon.png?width=110")))))))),"")</f>
        <v/>
      </c>
      <c r="F26" s="11" t="inlineStr">
        <is>
          <t>https://commons.wikimedia.org/wiki/Special:FilePath/1912_Nicaraguan_Campaign_Medal_ribbon.svg?width=110</t>
        </is>
      </c>
      <c r="G26" s="4" t="inlineStr">
        <is>
          <t>1912</t>
        </is>
      </c>
      <c r="H26" s="4" t="inlineStr"/>
      <c r="I26" s="2" t="inlineStr">
        <is>
          <t>https://en.wikipedia.org/wiki/Awards_and_decorations_of_the_United_States_Armed_Forces</t>
        </is>
      </c>
    </row>
    <row r="27" ht="44" customHeight="1">
      <c r="A27" s="6" t="inlineStr">
        <is>
          <t>Inactive and obsolete awards</t>
        </is>
      </c>
      <c r="B27" s="6" t="inlineStr">
        <is>
          <t>Navy and Marine Corps expedition medals</t>
        </is>
      </c>
      <c r="C27" s="9" t="n">
        <v>26</v>
      </c>
      <c r="D27" s="12" t="inlineStr">
        <is>
          <t>Haitian Campaign Medal</t>
        </is>
      </c>
      <c r="E27" s="7">
        <f>IFERROR(IFERROR(IMAGE("https://commons.wikimedia.org/wiki/Special:FilePath/1915_and_1920-1921_Haitian_Campaign_Medal_ribbon.svg?width=110"),IFERROR(IMAGE("https://commons.wikimedia.org/wiki/Special:FilePath/1915_and_1920-1921_Haitian_Campaign_Medal_ribbon.png?width=110"),IFERROR(IMAGE("https://commons.wikimedia.org/wiki/Special:FilePath/Haitian_Campaign_Medal_1915_and_1920-1921_ribbon.svg?width=110"),IFERROR(IMAGE("https://commons.wikimedia.org/wiki/Special:FilePath/Haitian_Campaign_Medal_1915_and_1920-1921_ribbon.png?width=110"),IFERROR(IMAGE("https://commons.wikimedia.org/wiki/Special:FilePath/Haitian_Campaign_Medal_1915_and_1920-1921.svg?width=110"),IFERROR(IMAGE("https://commons.wikimedia.org/wiki/Special:FilePath/Haitian_Campaign_Medal_1915_and_1920-1921.png?width=110"),IFERROR(IMAGE("https://commons.wikimedia.org/wiki/Special:FilePath/Haitian_Campaign_Medal_ribbon.svg?width=110"),IMAGE("https://commons.wikimedia.org/wiki/Special:FilePath/Haitian_Campaign_Medal_ribbon.png?width=110")))))))),"")</f>
        <v/>
      </c>
      <c r="F27" s="11" t="inlineStr">
        <is>
          <t>https://commons.wikimedia.org/wiki/Special:FilePath/1915_and_1920-1921_Haitian_Campaign_Medal_ribbon.svg?width=110</t>
        </is>
      </c>
      <c r="G27" s="6" t="inlineStr">
        <is>
          <t>1915 and 1920-1921</t>
        </is>
      </c>
      <c r="H27" s="6" t="inlineStr"/>
      <c r="I27" s="2" t="inlineStr">
        <is>
          <t>https://en.wikipedia.org/wiki/Awards_and_decorations_of_the_United_States_Armed_Forces</t>
        </is>
      </c>
    </row>
    <row r="28" ht="44" customHeight="1">
      <c r="A28" s="4" t="inlineStr">
        <is>
          <t>Inactive and obsolete awards</t>
        </is>
      </c>
      <c r="B28" s="4" t="inlineStr">
        <is>
          <t>Navy and Marine Corps expedition medals</t>
        </is>
      </c>
      <c r="C28" s="9" t="n">
        <v>27</v>
      </c>
      <c r="D28" s="10" t="inlineStr">
        <is>
          <t>Dominican Campaign Medal</t>
        </is>
      </c>
      <c r="E28" s="5">
        <f>IFERROR(IFERROR(IMAGE("https://commons.wikimedia.org/wiki/Special:FilePath/1916_Dominican_Campaign_Medal_ribbon.svg?width=110"),IFERROR(IMAGE("https://commons.wikimedia.org/wiki/Special:FilePath/1916_Dominican_Campaign_Medal_ribbon.png?width=110"),IFERROR(IMAGE("https://commons.wikimedia.org/wiki/Special:FilePath/Dominican_Campaign_Medal_1916_ribbon.svg?width=110"),IFERROR(IMAGE("https://commons.wikimedia.org/wiki/Special:FilePath/Dominican_Campaign_Medal_1916_ribbon.png?width=110"),IFERROR(IMAGE("https://commons.wikimedia.org/wiki/Special:FilePath/Dominican_Campaign_Medal_1916.svg?width=110"),IFERROR(IMAGE("https://commons.wikimedia.org/wiki/Special:FilePath/Dominican_Campaign_Medal_1916.png?width=110"),IFERROR(IMAGE("https://commons.wikimedia.org/wiki/Special:FilePath/Dominican_Campaign_Medal_ribbon.svg?width=110"),IMAGE("https://commons.wikimedia.org/wiki/Special:FilePath/Dominican_Campaign_Medal_ribbon.png?width=110")))))))),"")</f>
        <v/>
      </c>
      <c r="F28" s="11" t="inlineStr">
        <is>
          <t>https://commons.wikimedia.org/wiki/Special:FilePath/1916_Dominican_Campaign_Medal_ribbon.svg?width=110</t>
        </is>
      </c>
      <c r="G28" s="4" t="inlineStr">
        <is>
          <t>1916</t>
        </is>
      </c>
      <c r="H28" s="4" t="inlineStr"/>
      <c r="I28" s="2" t="inlineStr">
        <is>
          <t>https://en.wikipedia.org/wiki/Awards_and_decorations_of_the_United_States_Armed_Forces</t>
        </is>
      </c>
    </row>
    <row r="29" ht="44" customHeight="1">
      <c r="A29" s="6" t="inlineStr">
        <is>
          <t>Inactive and obsolete awards</t>
        </is>
      </c>
      <c r="B29" s="6" t="inlineStr">
        <is>
          <t>Navy and Marine Corps expedition medals</t>
        </is>
      </c>
      <c r="C29" s="9" t="n">
        <v>28</v>
      </c>
      <c r="D29" s="12" t="inlineStr">
        <is>
          <t>Nicaraguan Campaign Medal</t>
        </is>
      </c>
      <c r="E29" s="7">
        <f>IFERROR(IFERROR(IMAGE("https://commons.wikimedia.org/wiki/Special:FilePath/1926-1930_Nicaraguan_Campaign_Medal_ribbon.svg?width=110"),IFERROR(IMAGE("https://commons.wikimedia.org/wiki/Special:FilePath/1926-1930_Nicaraguan_Campaign_Medal_ribbon.png?width=110"),IFERROR(IMAGE("https://commons.wikimedia.org/wiki/Special:FilePath/Nicaraguan_Campaign_Medal_1926-1930_ribbon.svg?width=110"),IFERROR(IMAGE("https://commons.wikimedia.org/wiki/Special:FilePath/Nicaraguan_Campaign_Medal_1926-1930_ribbon.png?width=110"),IFERROR(IMAGE("https://commons.wikimedia.org/wiki/Special:FilePath/Nicaraguan_Campaign_Medal_1926-1930.svg?width=110"),IFERROR(IMAGE("https://commons.wikimedia.org/wiki/Special:FilePath/Nicaraguan_Campaign_Medal_1926-1930.png?width=110"),IFERROR(IMAGE("https://commons.wikimedia.org/wiki/Special:FilePath/Nicaraguan_Campaign_Medal_ribbon.svg?width=110"),IMAGE("https://commons.wikimedia.org/wiki/Special:FilePath/Nicaraguan_Campaign_Medal_ribbon.png?width=110")))))))),"")</f>
        <v/>
      </c>
      <c r="F29" s="11" t="inlineStr">
        <is>
          <t>https://commons.wikimedia.org/wiki/Special:FilePath/1926-1930_Nicaraguan_Campaign_Medal_ribbon.svg?width=110</t>
        </is>
      </c>
      <c r="G29" s="6" t="inlineStr">
        <is>
          <t>1926-1930</t>
        </is>
      </c>
      <c r="H29" s="6" t="inlineStr"/>
      <c r="I29" s="2" t="inlineStr">
        <is>
          <t>https://en.wikipedia.org/wiki/Awards_and_decorations_of_the_United_States_Armed_Forces</t>
        </is>
      </c>
    </row>
    <row r="30" ht="44" customHeight="1">
      <c r="A30" s="4" t="inlineStr">
        <is>
          <t>Inactive and obsolete awards</t>
        </is>
      </c>
      <c r="B30" s="4" t="inlineStr">
        <is>
          <t>Navy and Marine Corps expedition medals</t>
        </is>
      </c>
      <c r="C30" s="9" t="n">
        <v>29</v>
      </c>
      <c r="D30" s="10" t="inlineStr">
        <is>
          <t>Yangtze Service Medal</t>
        </is>
      </c>
      <c r="E30" s="5">
        <f>IFERROR(IFERROR(IMAGE("https://commons.wikimedia.org/wiki/Special:FilePath/Yangtze_Service_Medal_ribbon.svg?width=110"),IFERROR(IMAGE("https://commons.wikimedia.org/wiki/Special:FilePath/Yangtze_Service_Medal_ribbon.png?width=110"),IFERROR(IMAGE("https://commons.wikimedia.org/wiki/Special:FilePath/Yangtze_Service_Medal.svg?width=110"),IMAGE("https://commons.wikimedia.org/wiki/Special:FilePath/Yangtze_Service_Medal.png?width=110")))),"")</f>
        <v/>
      </c>
      <c r="F30" s="11" t="inlineStr">
        <is>
          <t>https://commons.wikimedia.org/wiki/Special:FilePath/Yangtze_Service_Medal_ribbon.svg?width=110</t>
        </is>
      </c>
      <c r="G30" s="4" t="inlineStr"/>
      <c r="H30" s="4" t="inlineStr"/>
      <c r="I30" s="2" t="inlineStr">
        <is>
          <t>https://en.wikipedia.org/wiki/Awards_and_decorations_of_the_United_States_Armed_Forces</t>
        </is>
      </c>
    </row>
    <row r="31" ht="44" customHeight="1">
      <c r="A31" s="6" t="inlineStr">
        <is>
          <t>Inactive and obsolete awards</t>
        </is>
      </c>
      <c r="B31" s="6" t="inlineStr">
        <is>
          <t>World War I and pre-World War I service medals</t>
        </is>
      </c>
      <c r="C31" s="9" t="n">
        <v>30</v>
      </c>
      <c r="D31" s="12" t="inlineStr">
        <is>
          <t>Mexican Service Medal</t>
        </is>
      </c>
      <c r="E31" s="7">
        <f>IFERROR(IFERROR(IMAGE("https://commons.wikimedia.org/wiki/Special:FilePath/Mexican_Service_Medal_ribbon.svg?width=110"),IFERROR(IMAGE("https://commons.wikimedia.org/wiki/Special:FilePath/Mexican_Service_Medal_ribbon.png?width=110"),IFERROR(IMAGE("https://commons.wikimedia.org/wiki/Special:FilePath/Mexican_Service_Medal.svg?width=110"),IMAGE("https://commons.wikimedia.org/wiki/Special:FilePath/Mexican_Service_Medal.png?width=110")))),"")</f>
        <v/>
      </c>
      <c r="F31" s="11" t="inlineStr">
        <is>
          <t>https://commons.wikimedia.org/wiki/Special:FilePath/Mexican_Service_Medal_ribbon.svg?width=110</t>
        </is>
      </c>
      <c r="G31" s="6" t="inlineStr"/>
      <c r="H31" s="6" t="inlineStr"/>
      <c r="I31" s="2" t="inlineStr">
        <is>
          <t>https://en.wikipedia.org/wiki/Awards_and_decorations_of_the_United_States_Armed_Forces</t>
        </is>
      </c>
    </row>
    <row r="32" ht="44" customHeight="1">
      <c r="A32" s="4" t="inlineStr">
        <is>
          <t>Inactive and obsolete awards</t>
        </is>
      </c>
      <c r="B32" s="4" t="inlineStr">
        <is>
          <t>World War I and pre-World War I service medals</t>
        </is>
      </c>
      <c r="C32" s="9" t="n">
        <v>31</v>
      </c>
      <c r="D32" s="10" t="inlineStr">
        <is>
          <t>Mexican Border Service Medal</t>
        </is>
      </c>
      <c r="E32" s="5">
        <f>IFERROR(IFERROR(IMAGE("https://commons.wikimedia.org/wiki/Special:FilePath/Mexican_Border_Service_Medal_ribbon.svg?width=110"),IFERROR(IMAGE("https://commons.wikimedia.org/wiki/Special:FilePath/Mexican_Border_Service_Medal_ribbon.png?width=110"),IFERROR(IMAGE("https://commons.wikimedia.org/wiki/Special:FilePath/Mexican_Border_Service_Medal.svg?width=110"),IMAGE("https://commons.wikimedia.org/wiki/Special:FilePath/Mexican_Border_Service_Medal.png?width=110")))),"")</f>
        <v/>
      </c>
      <c r="F32" s="11" t="inlineStr">
        <is>
          <t>https://commons.wikimedia.org/wiki/Special:FilePath/Mexican_Border_Service_Medal_ribbon.svg?width=110</t>
        </is>
      </c>
      <c r="G32" s="4" t="inlineStr"/>
      <c r="H32" s="4" t="inlineStr"/>
      <c r="I32" s="2" t="inlineStr">
        <is>
          <t>https://en.wikipedia.org/wiki/Awards_and_decorations_of_the_United_States_Armed_Forces</t>
        </is>
      </c>
    </row>
    <row r="33" ht="44" customHeight="1">
      <c r="A33" s="6" t="inlineStr">
        <is>
          <t>Inactive and obsolete awards</t>
        </is>
      </c>
      <c r="B33" s="6" t="inlineStr">
        <is>
          <t>World War I and pre-World War I service medals</t>
        </is>
      </c>
      <c r="C33" s="9" t="n">
        <v>32</v>
      </c>
      <c r="D33" s="12" t="inlineStr">
        <is>
          <t>World War I Victory Medal</t>
        </is>
      </c>
      <c r="E33" s="7">
        <f>IFERROR(IFERROR(IMAGE("https://commons.wikimedia.org/wiki/Special:FilePath/World_War_I_Victory_Medal_ribbon.svg?width=110"),IFERROR(IMAGE("https://commons.wikimedia.org/wiki/Special:FilePath/World_War_I_Victory_Medal_ribbon.png?width=110"),IFERROR(IMAGE("https://commons.wikimedia.org/wiki/Special:FilePath/World_War_I_Victory_Medal.svg?width=110"),IMAGE("https://commons.wikimedia.org/wiki/Special:FilePath/World_War_I_Victory_Medal.png?width=110")))),"")</f>
        <v/>
      </c>
      <c r="F33" s="11" t="inlineStr">
        <is>
          <t>https://commons.wikimedia.org/wiki/Special:FilePath/World_War_I_Victory_Medal_ribbon.svg?width=110</t>
        </is>
      </c>
      <c r="G33" s="6" t="inlineStr"/>
      <c r="H33" s="6" t="inlineStr"/>
      <c r="I33" s="2" t="inlineStr">
        <is>
          <t>https://en.wikipedia.org/wiki/Awards_and_decorations_of_the_United_States_Armed_Forces</t>
        </is>
      </c>
    </row>
    <row r="34" ht="44" customHeight="1">
      <c r="A34" s="4" t="inlineStr">
        <is>
          <t>Inactive and obsolete awards</t>
        </is>
      </c>
      <c r="B34" s="4" t="inlineStr">
        <is>
          <t>World War I and pre-World War I service medals</t>
        </is>
      </c>
      <c r="C34" s="9" t="n">
        <v>33</v>
      </c>
      <c r="D34" s="10" t="inlineStr">
        <is>
          <t>Army of Occupation of Germany Medal</t>
        </is>
      </c>
      <c r="E34" s="5">
        <f>IFERROR(IFERROR(IMAGE("https://commons.wikimedia.org/wiki/Special:FilePath/Army_of_Occupation_of_Germany_Medal_ribbon.svg?width=110"),IFERROR(IMAGE("https://commons.wikimedia.org/wiki/Special:FilePath/Army_of_Occupation_of_Germany_Medal_ribbon.png?width=110"),IFERROR(IMAGE("https://commons.wikimedia.org/wiki/Special:FilePath/Army_of_Occupation_of_Germany_Medal.svg?width=110"),IMAGE("https://commons.wikimedia.org/wiki/Special:FilePath/Army_of_Occupation_of_Germany_Medal.png?width=110")))),"")</f>
        <v/>
      </c>
      <c r="F34" s="11" t="inlineStr">
        <is>
          <t>https://commons.wikimedia.org/wiki/Special:FilePath/Army_of_Occupation_of_Germany_Medal_ribbon.svg?width=110</t>
        </is>
      </c>
      <c r="G34" s="4" t="inlineStr"/>
      <c r="H34" s="4" t="inlineStr"/>
      <c r="I34" s="2" t="inlineStr">
        <is>
          <t>https://en.wikipedia.org/wiki/Awards_and_decorations_of_the_United_States_Armed_Forces</t>
        </is>
      </c>
    </row>
    <row r="35" ht="44" customHeight="1">
      <c r="A35" s="6" t="inlineStr">
        <is>
          <t>Inactive and obsolete awards</t>
        </is>
      </c>
      <c r="B35" s="6" t="inlineStr">
        <is>
          <t>World War II and pre-World War II service medals</t>
        </is>
      </c>
      <c r="C35" s="9" t="n">
        <v>34</v>
      </c>
      <c r="D35" s="12" t="inlineStr">
        <is>
          <t>China Service Medal</t>
        </is>
      </c>
      <c r="E35" s="7">
        <f>IFERROR(IFERROR(IMAGE("https://commons.wikimedia.org/wiki/Special:FilePath/China_Service_Medal_ribbon.svg?width=110"),IFERROR(IMAGE("https://commons.wikimedia.org/wiki/Special:FilePath/China_Service_Medal_ribbon.png?width=110"),IFERROR(IMAGE("https://commons.wikimedia.org/wiki/Special:FilePath/China_Service_Medal.svg?width=110"),IMAGE("https://commons.wikimedia.org/wiki/Special:FilePath/China_Service_Medal.png?width=110")))),"")</f>
        <v/>
      </c>
      <c r="F35" s="11" t="inlineStr">
        <is>
          <t>https://commons.wikimedia.org/wiki/Special:FilePath/China_Service_Medal_ribbon.svg?width=110</t>
        </is>
      </c>
      <c r="G35" s="6" t="inlineStr"/>
      <c r="H35" s="6" t="inlineStr"/>
      <c r="I35" s="2" t="inlineStr">
        <is>
          <t>https://en.wikipedia.org/wiki/Awards_and_decorations_of_the_United_States_Armed_Forces</t>
        </is>
      </c>
    </row>
    <row r="36" ht="44" customHeight="1">
      <c r="A36" s="4" t="inlineStr">
        <is>
          <t>Inactive and obsolete awards</t>
        </is>
      </c>
      <c r="B36" s="4" t="inlineStr">
        <is>
          <t>World War II and pre-World War II service medals</t>
        </is>
      </c>
      <c r="C36" s="9" t="n">
        <v>35</v>
      </c>
      <c r="D36" s="10" t="inlineStr">
        <is>
          <t>American Defense Service Medal</t>
        </is>
      </c>
      <c r="E36" s="5">
        <f>IFERROR(IFERROR(IMAGE("https://commons.wikimedia.org/wiki/Special:FilePath/American_Defense_Service_Medal_ribbon.svg?width=110"),IFERROR(IMAGE("https://commons.wikimedia.org/wiki/Special:FilePath/American_Defense_Service_Medal_ribbon.png?width=110"),IFERROR(IMAGE("https://commons.wikimedia.org/wiki/Special:FilePath/American_Defense_Service_Medal.svg?width=110"),IMAGE("https://commons.wikimedia.org/wiki/Special:FilePath/American_Defense_Service_Medal.png?width=110")))),"")</f>
        <v/>
      </c>
      <c r="F36" s="11" t="inlineStr">
        <is>
          <t>https://commons.wikimedia.org/wiki/Special:FilePath/American_Defense_Service_Medal_ribbon.svg?width=110</t>
        </is>
      </c>
      <c r="G36" s="4" t="inlineStr"/>
      <c r="H36" s="4" t="inlineStr"/>
      <c r="I36" s="2" t="inlineStr">
        <is>
          <t>https://en.wikipedia.org/wiki/Awards_and_decorations_of_the_United_States_Armed_Forces</t>
        </is>
      </c>
    </row>
    <row r="37" ht="44" customHeight="1">
      <c r="A37" s="6" t="inlineStr">
        <is>
          <t>Inactive and obsolete awards</t>
        </is>
      </c>
      <c r="B37" s="6" t="inlineStr">
        <is>
          <t>World War II and pre-World War II service medals</t>
        </is>
      </c>
      <c r="C37" s="9" t="n">
        <v>36</v>
      </c>
      <c r="D37" s="12" t="inlineStr">
        <is>
          <t>Women's Army Corps Service Medal</t>
        </is>
      </c>
      <c r="E37" s="7">
        <f>IFERROR(IFERROR(IMAGE("https://commons.wikimedia.org/wiki/Special:FilePath/Womens_Army_Corps_Service_Medal_ribbon.svg?width=110"),IFERROR(IMAGE("https://commons.wikimedia.org/wiki/Special:FilePath/Womens_Army_Corps_Service_Medal_ribbon.png?width=110"),IFERROR(IMAGE("https://commons.wikimedia.org/wiki/Special:FilePath/Womens_Army_Corps_Service_Medal.svg?width=110"),IMAGE("https://commons.wikimedia.org/wiki/Special:FilePath/Womens_Army_Corps_Service_Medal.png?width=110")))),"")</f>
        <v/>
      </c>
      <c r="F37" s="11" t="inlineStr">
        <is>
          <t>https://commons.wikimedia.org/wiki/Special:FilePath/Womens_Army_Corps_Service_Medal_ribbon.svg?width=110</t>
        </is>
      </c>
      <c r="G37" s="6" t="inlineStr"/>
      <c r="H37" s="6" t="inlineStr"/>
      <c r="I37" s="2" t="inlineStr">
        <is>
          <t>https://en.wikipedia.org/wiki/Awards_and_decorations_of_the_United_States_Armed_Forces</t>
        </is>
      </c>
    </row>
    <row r="38" ht="44" customHeight="1">
      <c r="A38" s="4" t="inlineStr">
        <is>
          <t>Inactive and obsolete awards</t>
        </is>
      </c>
      <c r="B38" s="4" t="inlineStr">
        <is>
          <t>World War II and pre-World War II service medals</t>
        </is>
      </c>
      <c r="C38" s="9" t="n">
        <v>37</v>
      </c>
      <c r="D38" s="10" t="inlineStr">
        <is>
          <t>American Campaign Medal</t>
        </is>
      </c>
      <c r="E38" s="5">
        <f>IFERROR(IFERROR(IMAGE("https://commons.wikimedia.org/wiki/Special:FilePath/American_Campaign_Medal_ribbon.svg?width=110"),IFERROR(IMAGE("https://commons.wikimedia.org/wiki/Special:FilePath/American_Campaign_Medal_ribbon.png?width=110"),IFERROR(IMAGE("https://commons.wikimedia.org/wiki/Special:FilePath/American_Campaign_Medal.svg?width=110"),IMAGE("https://commons.wikimedia.org/wiki/Special:FilePath/American_Campaign_Medal.png?width=110")))),"")</f>
        <v/>
      </c>
      <c r="F38" s="11" t="inlineStr">
        <is>
          <t>https://commons.wikimedia.org/wiki/Special:FilePath/American_Campaign_Medal_ribbon.svg?width=110</t>
        </is>
      </c>
      <c r="G38" s="4" t="inlineStr"/>
      <c r="H38" s="4" t="inlineStr"/>
      <c r="I38" s="2" t="inlineStr">
        <is>
          <t>https://en.wikipedia.org/wiki/Awards_and_decorations_of_the_United_States_Armed_Forces</t>
        </is>
      </c>
    </row>
    <row r="39" ht="44" customHeight="1">
      <c r="A39" s="6" t="inlineStr">
        <is>
          <t>Inactive and obsolete awards</t>
        </is>
      </c>
      <c r="B39" s="6" t="inlineStr">
        <is>
          <t>World War II and pre-World War II service medals</t>
        </is>
      </c>
      <c r="C39" s="9" t="n">
        <v>38</v>
      </c>
      <c r="D39" s="12" t="inlineStr">
        <is>
          <t>Asiatic-Pacific Campaign Medal</t>
        </is>
      </c>
      <c r="E39" s="7">
        <f>IFERROR(IFERROR(IMAGE("https://commons.wikimedia.org/wiki/Special:FilePath/Asiatic-Pacific_Campaign_Medal_ribbon.svg?width=110"),IFERROR(IMAGE("https://commons.wikimedia.org/wiki/Special:FilePath/Asiatic-Pacific_Campaign_Medal_ribbon.png?width=110"),IFERROR(IMAGE("https://commons.wikimedia.org/wiki/Special:FilePath/Asiatic-Pacific_Campaign_Medal.svg?width=110"),IMAGE("https://commons.wikimedia.org/wiki/Special:FilePath/Asiatic-Pacific_Campaign_Medal.png?width=110")))),"")</f>
        <v/>
      </c>
      <c r="F39" s="11" t="inlineStr">
        <is>
          <t>https://commons.wikimedia.org/wiki/Special:FilePath/Asiatic-Pacific_Campaign_Medal_ribbon.svg?width=110</t>
        </is>
      </c>
      <c r="G39" s="6" t="inlineStr"/>
      <c r="H39" s="6" t="inlineStr"/>
      <c r="I39" s="2" t="inlineStr">
        <is>
          <t>https://en.wikipedia.org/wiki/Awards_and_decorations_of_the_United_States_Armed_Forces</t>
        </is>
      </c>
    </row>
    <row r="40" ht="44" customHeight="1">
      <c r="A40" s="4" t="inlineStr">
        <is>
          <t>Inactive and obsolete awards</t>
        </is>
      </c>
      <c r="B40" s="4" t="inlineStr">
        <is>
          <t>World War II and pre-World War II service medals</t>
        </is>
      </c>
      <c r="C40" s="9" t="n">
        <v>39</v>
      </c>
      <c r="D40" s="10" t="inlineStr">
        <is>
          <t>European-African-Middle Eastern Campaign Medal</t>
        </is>
      </c>
      <c r="E40" s="5">
        <f>IFERROR(IFERROR(IMAGE("https://commons.wikimedia.org/wiki/Special:FilePath/European-African-Middle_Eastern_Campaign_Medal_ribbon.svg?width=110"),IFERROR(IMAGE("https://commons.wikimedia.org/wiki/Special:FilePath/European-African-Middle_Eastern_Campaign_Medal_ribbon.png?width=110"),IFERROR(IMAGE("https://commons.wikimedia.org/wiki/Special:FilePath/European-African-Middle_Eastern_Campaign_Medal.svg?width=110"),IMAGE("https://commons.wikimedia.org/wiki/Special:FilePath/European-African-Middle_Eastern_Campaign_Medal.png?width=110")))),"")</f>
        <v/>
      </c>
      <c r="F40" s="11" t="inlineStr">
        <is>
          <t>https://commons.wikimedia.org/wiki/Special:FilePath/European-African-Middle_Eastern_Campaign_Medal_ribbon.svg?width=110</t>
        </is>
      </c>
      <c r="G40" s="4" t="inlineStr"/>
      <c r="H40" s="4" t="inlineStr"/>
      <c r="I40" s="2" t="inlineStr">
        <is>
          <t>https://en.wikipedia.org/wiki/Awards_and_decorations_of_the_United_States_Armed_Forces</t>
        </is>
      </c>
    </row>
    <row r="41" ht="44" customHeight="1">
      <c r="A41" s="6" t="inlineStr">
        <is>
          <t>Inactive and obsolete awards</t>
        </is>
      </c>
      <c r="B41" s="6" t="inlineStr">
        <is>
          <t>World War II and pre-World War II service medals</t>
        </is>
      </c>
      <c r="C41" s="9" t="n">
        <v>40</v>
      </c>
      <c r="D41" s="12" t="inlineStr">
        <is>
          <t>World War II Victory Medal</t>
        </is>
      </c>
      <c r="E41" s="7">
        <f>IFERROR(IFERROR(IMAGE("https://commons.wikimedia.org/wiki/Special:FilePath/World_War_II_Victory_Medal_ribbon.svg?width=110"),IFERROR(IMAGE("https://commons.wikimedia.org/wiki/Special:FilePath/World_War_II_Victory_Medal_ribbon.png?width=110"),IFERROR(IMAGE("https://commons.wikimedia.org/wiki/Special:FilePath/World_War_II_Victory_Medal.svg?width=110"),IMAGE("https://commons.wikimedia.org/wiki/Special:FilePath/World_War_II_Victory_Medal.png?width=110")))),"")</f>
        <v/>
      </c>
      <c r="F41" s="11" t="inlineStr">
        <is>
          <t>https://commons.wikimedia.org/wiki/Special:FilePath/World_War_II_Victory_Medal_ribbon.svg?width=110</t>
        </is>
      </c>
      <c r="G41" s="6" t="inlineStr"/>
      <c r="H41" s="6" t="inlineStr"/>
      <c r="I41" s="2" t="inlineStr">
        <is>
          <t>https://en.wikipedia.org/wiki/Awards_and_decorations_of_the_United_States_Armed_Forces</t>
        </is>
      </c>
    </row>
    <row r="42" ht="44" customHeight="1">
      <c r="A42" s="4" t="inlineStr">
        <is>
          <t>Inactive and obsolete awards</t>
        </is>
      </c>
      <c r="B42" s="4" t="inlineStr">
        <is>
          <t>Post World War II, Cold War service, occupation medals</t>
        </is>
      </c>
      <c r="C42" s="9" t="n">
        <v>41</v>
      </c>
      <c r="D42" s="10" t="inlineStr">
        <is>
          <t>Army of Occupation Medal</t>
        </is>
      </c>
      <c r="E42" s="5">
        <f>IFERROR(IFERROR(IMAGE("https://commons.wikimedia.org/wiki/Special:FilePath/Army_of_Occupation_Medal_ribbon.svg?width=110"),IFERROR(IMAGE("https://commons.wikimedia.org/wiki/Special:FilePath/Army_of_Occupation_Medal_ribbon.png?width=110"),IFERROR(IMAGE("https://commons.wikimedia.org/wiki/Special:FilePath/Army_of_Occupation_Medal.svg?width=110"),IMAGE("https://commons.wikimedia.org/wiki/Special:FilePath/Army_of_Occupation_Medal.png?width=110")))),"")</f>
        <v/>
      </c>
      <c r="F42" s="11" t="inlineStr">
        <is>
          <t>https://commons.wikimedia.org/wiki/Special:FilePath/Army_of_Occupation_Medal_ribbon.svg?width=110</t>
        </is>
      </c>
      <c r="G42" s="4" t="inlineStr"/>
      <c r="H42" s="4" t="inlineStr"/>
      <c r="I42" s="2" t="inlineStr">
        <is>
          <t>https://en.wikipedia.org/wiki/Awards_and_decorations_of_the_United_States_Armed_Forces</t>
        </is>
      </c>
    </row>
    <row r="43" ht="44" customHeight="1">
      <c r="A43" s="6" t="inlineStr">
        <is>
          <t>Inactive and obsolete awards</t>
        </is>
      </c>
      <c r="B43" s="6" t="inlineStr">
        <is>
          <t>Post World War II, Cold War service, occupation medals</t>
        </is>
      </c>
      <c r="C43" s="9" t="n">
        <v>42</v>
      </c>
      <c r="D43" s="12" t="inlineStr">
        <is>
          <t>Navy Occupation Service Medal</t>
        </is>
      </c>
      <c r="E43" s="7">
        <f>IFERROR(IFERROR(IMAGE("https://commons.wikimedia.org/wiki/Special:FilePath/Navy_Occupation_Service_Medal_ribbon.svg?width=110"),IFERROR(IMAGE("https://commons.wikimedia.org/wiki/Special:FilePath/Navy_Occupation_Service_Medal_ribbon.png?width=110"),IFERROR(IMAGE("https://commons.wikimedia.org/wiki/Special:FilePath/Navy_Occupation_Service_Medal.svg?width=110"),IMAGE("https://commons.wikimedia.org/wiki/Special:FilePath/Navy_Occupation_Service_Medal.png?width=110")))),"")</f>
        <v/>
      </c>
      <c r="F43" s="11" t="inlineStr">
        <is>
          <t>https://commons.wikimedia.org/wiki/Special:FilePath/Navy_Occupation_Service_Medal_ribbon.svg?width=110</t>
        </is>
      </c>
      <c r="G43" s="6" t="inlineStr"/>
      <c r="H43" s="6" t="inlineStr"/>
      <c r="I43" s="2" t="inlineStr">
        <is>
          <t>https://en.wikipedia.org/wiki/Awards_and_decorations_of_the_United_States_Armed_Forces</t>
        </is>
      </c>
    </row>
    <row r="44" ht="44" customHeight="1">
      <c r="A44" s="4" t="inlineStr">
        <is>
          <t>Inactive and obsolete awards</t>
        </is>
      </c>
      <c r="B44" s="4" t="inlineStr">
        <is>
          <t>Post World War II, Cold War service, occupation medals</t>
        </is>
      </c>
      <c r="C44" s="9" t="n">
        <v>43</v>
      </c>
      <c r="D44" s="10" t="inlineStr">
        <is>
          <t>Medal for Humane Action</t>
        </is>
      </c>
      <c r="E44" s="5">
        <f>IFERROR(IFERROR(IMAGE("https://commons.wikimedia.org/wiki/Special:FilePath/Medal_for_Humane_Action_ribbon.svg?width=110"),IFERROR(IMAGE("https://commons.wikimedia.org/wiki/Special:FilePath/Medal_for_Humane_Action_ribbon.png?width=110"),IFERROR(IMAGE("https://commons.wikimedia.org/wiki/Special:FilePath/Medal_for_Humane_Action.svg?width=110"),IFERROR(IMAGE("https://commons.wikimedia.org/wiki/Special:FilePath/Medal_for_Humane_Action.png?width=110"),IFERROR(IMAGE("https://commons.wikimedia.org/wiki/Special:FilePath/Medal_for_Humane_Action_Medal_ribbon.svg?width=110"),IMAGE("https://commons.wikimedia.org/wiki/Special:FilePath/Medal_for_Humane_Action_Medal_ribbon.png?width=110")))))),"")</f>
        <v/>
      </c>
      <c r="F44" s="11" t="inlineStr">
        <is>
          <t>https://commons.wikimedia.org/wiki/Special:FilePath/Medal_for_Humane_Action_ribbon.svg?width=110</t>
        </is>
      </c>
      <c r="G44" s="4" t="inlineStr"/>
      <c r="H44" s="4" t="inlineStr"/>
      <c r="I44" s="2" t="inlineStr">
        <is>
          <t>https://en.wikipedia.org/wiki/Awards_and_decorations_of_the_United_States_Armed_Forces</t>
        </is>
      </c>
    </row>
    <row r="45" ht="44" customHeight="1">
      <c r="A45" s="6" t="inlineStr">
        <is>
          <t>Inactive and obsolete awards</t>
        </is>
      </c>
      <c r="B45" s="6" t="inlineStr">
        <is>
          <t>Post World War II, Cold War service, occupation medals</t>
        </is>
      </c>
      <c r="C45" s="9" t="n">
        <v>44</v>
      </c>
      <c r="D45" s="12" t="inlineStr">
        <is>
          <t>National Defense Service Medal</t>
        </is>
      </c>
      <c r="E45" s="7">
        <f>IFERROR(IFERROR(IMAGE("https://commons.wikimedia.org/wiki/Special:FilePath/National_Defense_Service_Medal_ribbon.svg?width=110"),IFERROR(IMAGE("https://commons.wikimedia.org/wiki/Special:FilePath/National_Defense_Service_Medal_ribbon.png?width=110"),IFERROR(IMAGE("https://commons.wikimedia.org/wiki/Special:FilePath/National_Defense_Service_Medal.svg?width=110"),IMAGE("https://commons.wikimedia.org/wiki/Special:FilePath/National_Defense_Service_Medal.png?width=110")))),"")</f>
        <v/>
      </c>
      <c r="F45" s="11" t="inlineStr">
        <is>
          <t>https://commons.wikimedia.org/wiki/Special:FilePath/National_Defense_Service_Medal_ribbon.svg?width=110</t>
        </is>
      </c>
      <c r="G45" s="6" t="inlineStr"/>
      <c r="H45" s="6" t="inlineStr"/>
      <c r="I45" s="2" t="inlineStr">
        <is>
          <t>https://en.wikipedia.org/wiki/Awards_and_decorations_of_the_United_States_Armed_Forces</t>
        </is>
      </c>
    </row>
    <row r="46" ht="44" customHeight="1">
      <c r="A46" s="4" t="inlineStr">
        <is>
          <t>Inactive and obsolete awards</t>
        </is>
      </c>
      <c r="B46" s="4" t="inlineStr">
        <is>
          <t>Post World War II, Cold War service, occupation medals</t>
        </is>
      </c>
      <c r="C46" s="9" t="n">
        <v>45</v>
      </c>
      <c r="D46" s="10" t="inlineStr">
        <is>
          <t>Korean Service Medal</t>
        </is>
      </c>
      <c r="E46" s="5">
        <f>IFERROR(IFERROR(IMAGE("https://commons.wikimedia.org/wiki/Special:FilePath/Korean_Service_Medal_ribbon.svg?width=110"),IFERROR(IMAGE("https://commons.wikimedia.org/wiki/Special:FilePath/Korean_Service_Medal_ribbon.png?width=110"),IFERROR(IMAGE("https://commons.wikimedia.org/wiki/Special:FilePath/Korean_Service_Medal.svg?width=110"),IMAGE("https://commons.wikimedia.org/wiki/Special:FilePath/Korean_Service_Medal.png?width=110")))),"")</f>
        <v/>
      </c>
      <c r="F46" s="11" t="inlineStr">
        <is>
          <t>https://commons.wikimedia.org/wiki/Special:FilePath/Korean_Service_Medal_ribbon.svg?width=110</t>
        </is>
      </c>
      <c r="G46" s="4" t="inlineStr"/>
      <c r="H46" s="4" t="inlineStr"/>
      <c r="I46" s="2" t="inlineStr">
        <is>
          <t>https://en.wikipedia.org/wiki/Awards_and_decorations_of_the_United_States_Armed_Forces</t>
        </is>
      </c>
    </row>
    <row r="47" ht="44" customHeight="1">
      <c r="A47" s="6" t="inlineStr">
        <is>
          <t>Inactive and obsolete awards</t>
        </is>
      </c>
      <c r="B47" s="6" t="inlineStr">
        <is>
          <t>Post World War II, Cold War service, occupation medals</t>
        </is>
      </c>
      <c r="C47" s="9" t="n">
        <v>46</v>
      </c>
      <c r="D47" s="12" t="inlineStr">
        <is>
          <t>Vietnam Service Medal</t>
        </is>
      </c>
      <c r="E47" s="7">
        <f>IFERROR(IFERROR(IMAGE("https://commons.wikimedia.org/wiki/Special:FilePath/Vietnam_Service_Medal_ribbon.svg?width=110"),IFERROR(IMAGE("https://commons.wikimedia.org/wiki/Special:FilePath/Vietnam_Service_Medal_ribbon.png?width=110"),IFERROR(IMAGE("https://commons.wikimedia.org/wiki/Special:FilePath/Vietnam_Service_Medal.svg?width=110"),IMAGE("https://commons.wikimedia.org/wiki/Special:FilePath/Vietnam_Service_Medal.png?width=110")))),"")</f>
        <v/>
      </c>
      <c r="F47" s="11" t="inlineStr">
        <is>
          <t>https://commons.wikimedia.org/wiki/Special:FilePath/Vietnam_Service_Medal_ribbon.svg?width=110</t>
        </is>
      </c>
      <c r="G47" s="6" t="inlineStr"/>
      <c r="H47" s="6" t="inlineStr"/>
      <c r="I47" s="2" t="inlineStr">
        <is>
          <t>https://en.wikipedia.org/wiki/Awards_and_decorations_of_the_United_States_Armed_Forces</t>
        </is>
      </c>
    </row>
    <row r="48" ht="44" customHeight="1">
      <c r="A48" s="4" t="inlineStr">
        <is>
          <t>Inactive and obsolete awards</t>
        </is>
      </c>
      <c r="B48" s="4" t="inlineStr">
        <is>
          <t>Post Cold War campaign medals</t>
        </is>
      </c>
      <c r="C48" s="9" t="n">
        <v>47</v>
      </c>
      <c r="D48" s="10" t="inlineStr">
        <is>
          <t>Southwest Asia Service Medal</t>
        </is>
      </c>
      <c r="E48" s="5">
        <f>IFERROR(IFERROR(IMAGE("https://commons.wikimedia.org/wiki/Special:FilePath/Southwest_Asia_Service_Medal_ribbon.svg?width=110"),IFERROR(IMAGE("https://commons.wikimedia.org/wiki/Special:FilePath/Southwest_Asia_Service_Medal_ribbon.png?width=110"),IFERROR(IMAGE("https://commons.wikimedia.org/wiki/Special:FilePath/Southwest_Asia_Service_Medal.svg?width=110"),IMAGE("https://commons.wikimedia.org/wiki/Special:FilePath/Southwest_Asia_Service_Medal.png?width=110")))),"")</f>
        <v/>
      </c>
      <c r="F48" s="11" t="inlineStr">
        <is>
          <t>https://commons.wikimedia.org/wiki/Special:FilePath/Southwest_Asia_Service_Medal_ribbon.svg?width=110</t>
        </is>
      </c>
      <c r="G48" s="4" t="inlineStr"/>
      <c r="H48" s="4" t="inlineStr"/>
      <c r="I48" s="2" t="inlineStr">
        <is>
          <t>https://en.wikipedia.org/wiki/Awards_and_decorations_of_the_United_States_Armed_Forces</t>
        </is>
      </c>
    </row>
    <row r="49" ht="44" customHeight="1">
      <c r="A49" s="6" t="inlineStr">
        <is>
          <t>Inactive and obsolete awards</t>
        </is>
      </c>
      <c r="B49" s="6" t="inlineStr">
        <is>
          <t>Post Cold War campaign medals</t>
        </is>
      </c>
      <c r="C49" s="9" t="n">
        <v>48</v>
      </c>
      <c r="D49" s="12" t="inlineStr">
        <is>
          <t>Kosovo Campaign Medal</t>
        </is>
      </c>
      <c r="E49" s="7">
        <f>IFERROR(IFERROR(IMAGE("https://commons.wikimedia.org/wiki/Special:FilePath/Kosovo_Campaign_Medal_ribbon.svg?width=110"),IFERROR(IMAGE("https://commons.wikimedia.org/wiki/Special:FilePath/Kosovo_Campaign_Medal_ribbon.png?width=110"),IFERROR(IMAGE("https://commons.wikimedia.org/wiki/Special:FilePath/Kosovo_Campaign_Medal.svg?width=110"),IMAGE("https://commons.wikimedia.org/wiki/Special:FilePath/Kosovo_Campaign_Medal.png?width=110")))),"")</f>
        <v/>
      </c>
      <c r="F49" s="11" t="inlineStr">
        <is>
          <t>https://commons.wikimedia.org/wiki/Special:FilePath/Kosovo_Campaign_Medal_ribbon.svg?width=110</t>
        </is>
      </c>
      <c r="G49" s="6" t="inlineStr"/>
      <c r="H49" s="6" t="inlineStr"/>
      <c r="I49" s="2" t="inlineStr">
        <is>
          <t>https://en.wikipedia.org/wiki/Awards_and_decorations_of_the_United_States_Armed_Forces</t>
        </is>
      </c>
    </row>
    <row r="50" ht="44" customHeight="1">
      <c r="A50" s="4" t="inlineStr">
        <is>
          <t>Inactive and obsolete awards</t>
        </is>
      </c>
      <c r="B50" s="4" t="inlineStr">
        <is>
          <t>Post Cold War campaign medals</t>
        </is>
      </c>
      <c r="C50" s="9" t="n">
        <v>49</v>
      </c>
      <c r="D50" s="10" t="inlineStr">
        <is>
          <t>Afghanistan Campaign Medal</t>
        </is>
      </c>
      <c r="E50" s="5">
        <f>IFERROR(IFERROR(IMAGE("https://commons.wikimedia.org/wiki/Special:FilePath/Afghanistan_Campaign_Medal_ribbon.svg?width=110"),IFERROR(IMAGE("https://commons.wikimedia.org/wiki/Special:FilePath/Afghanistan_Campaign_Medal_ribbon.png?width=110"),IFERROR(IMAGE("https://commons.wikimedia.org/wiki/Special:FilePath/Afghanistan_Campaign_Medal.svg?width=110"),IMAGE("https://commons.wikimedia.org/wiki/Special:FilePath/Afghanistan_Campaign_Medal.png?width=110")))),"")</f>
        <v/>
      </c>
      <c r="F50" s="11" t="inlineStr">
        <is>
          <t>https://commons.wikimedia.org/wiki/Special:FilePath/Afghanistan_Campaign_Medal_ribbon.svg?width=110</t>
        </is>
      </c>
      <c r="G50" s="4" t="inlineStr"/>
      <c r="H50" s="4" t="inlineStr"/>
      <c r="I50" s="2" t="inlineStr">
        <is>
          <t>https://en.wikipedia.org/wiki/Awards_and_decorations_of_the_United_States_Armed_Forces</t>
        </is>
      </c>
    </row>
    <row r="51" ht="44" customHeight="1">
      <c r="A51" s="6" t="inlineStr">
        <is>
          <t>Inactive and obsolete awards</t>
        </is>
      </c>
      <c r="B51" s="6" t="inlineStr">
        <is>
          <t>Post Cold War campaign medals</t>
        </is>
      </c>
      <c r="C51" s="9" t="n">
        <v>50</v>
      </c>
      <c r="D51" s="12" t="inlineStr">
        <is>
          <t>Iraq Campaign Medal</t>
        </is>
      </c>
      <c r="E51" s="7">
        <f>IFERROR(IFERROR(IMAGE("https://commons.wikimedia.org/wiki/Special:FilePath/Iraq_Campaign_Medal_ribbon.svg?width=110"),IFERROR(IMAGE("https://commons.wikimedia.org/wiki/Special:FilePath/Iraq_Campaign_Medal_ribbon.png?width=110"),IFERROR(IMAGE("https://commons.wikimedia.org/wiki/Special:FilePath/Iraq_Campaign_Medal.svg?width=110"),IMAGE("https://commons.wikimedia.org/wiki/Special:FilePath/Iraq_Campaign_Medal.png?width=110")))),"")</f>
        <v/>
      </c>
      <c r="F51" s="11" t="inlineStr">
        <is>
          <t>https://commons.wikimedia.org/wiki/Special:FilePath/Iraq_Campaign_Medal_ribbon.svg?width=110</t>
        </is>
      </c>
      <c r="G51" s="6" t="inlineStr"/>
      <c r="H51" s="6" t="inlineStr"/>
      <c r="I51" s="2" t="inlineStr">
        <is>
          <t>https://en.wikipedia.org/wiki/Awards_and_decorations_of_the_United_States_Armed_Forces</t>
        </is>
      </c>
    </row>
    <row r="52" ht="44" customHeight="1">
      <c r="A52" s="4" t="inlineStr">
        <is>
          <t>Inactive and obsolete awards</t>
        </is>
      </c>
      <c r="B52" s="4" t="inlineStr">
        <is>
          <t>Service and training decorations</t>
        </is>
      </c>
      <c r="C52" s="9" t="n">
        <v>51</v>
      </c>
      <c r="D52" s="10" t="inlineStr">
        <is>
          <t>Naval Reserve Medal</t>
        </is>
      </c>
      <c r="E52" s="5">
        <f>IFERROR(IFERROR(IMAGE("https://commons.wikimedia.org/wiki/Special:FilePath/Naval_Reserve_Medal_ribbon.svg?width=110"),IFERROR(IMAGE("https://commons.wikimedia.org/wiki/Special:FilePath/Naval_Reserve_Medal_ribbon.png?width=110"),IFERROR(IMAGE("https://commons.wikimedia.org/wiki/Special:FilePath/Naval_Reserve_Medal.svg?width=110"),IMAGE("https://commons.wikimedia.org/wiki/Special:FilePath/Naval_Reserve_Medal.png?width=110")))),"")</f>
        <v/>
      </c>
      <c r="F52" s="11" t="inlineStr">
        <is>
          <t>https://commons.wikimedia.org/wiki/Special:FilePath/Naval_Reserve_Medal_ribbon.svg?width=110</t>
        </is>
      </c>
      <c r="G52" s="4" t="inlineStr"/>
      <c r="H52" s="4" t="inlineStr"/>
      <c r="I52" s="2" t="inlineStr">
        <is>
          <t>https://en.wikipedia.org/wiki/Awards_and_decorations_of_the_United_States_Armed_Forces</t>
        </is>
      </c>
    </row>
    <row r="53" ht="44" customHeight="1">
      <c r="A53" s="6" t="inlineStr">
        <is>
          <t>Inactive and obsolete awards</t>
        </is>
      </c>
      <c r="B53" s="6" t="inlineStr">
        <is>
          <t>Service and training decorations</t>
        </is>
      </c>
      <c r="C53" s="9" t="n">
        <v>52</v>
      </c>
      <c r="D53" s="12" t="inlineStr">
        <is>
          <t>Marine Corps Reserve Ribbon</t>
        </is>
      </c>
      <c r="E53" s="7">
        <f>IFERROR(IFERROR(IMAGE("https://commons.wikimedia.org/wiki/Special:FilePath/Marine_Corps_Reserve_Ribbon_ribbon.svg?width=110"),IFERROR(IMAGE("https://commons.wikimedia.org/wiki/Special:FilePath/Marine_Corps_Reserve_Ribbon_ribbon.png?width=110"),IFERROR(IMAGE("https://commons.wikimedia.org/wiki/Special:FilePath/Marine_Corps_Reserve_Ribbon.svg?width=110"),IMAGE("https://commons.wikimedia.org/wiki/Special:FilePath/Marine_Corps_Reserve_Ribbon.png?width=110")))),"")</f>
        <v/>
      </c>
      <c r="F53" s="11" t="inlineStr">
        <is>
          <t>https://commons.wikimedia.org/wiki/Special:FilePath/Marine_Corps_Reserve_Ribbon_ribbon.svg?width=110</t>
        </is>
      </c>
      <c r="G53" s="6" t="inlineStr"/>
      <c r="H53" s="6" t="inlineStr"/>
      <c r="I53" s="2" t="inlineStr">
        <is>
          <t>https://en.wikipedia.org/wiki/Awards_and_decorations_of_the_United_States_Armed_Forces</t>
        </is>
      </c>
    </row>
    <row r="54" ht="44" customHeight="1">
      <c r="A54" s="4" t="inlineStr">
        <is>
          <t>Inactive and obsolete awards</t>
        </is>
      </c>
      <c r="B54" s="4" t="inlineStr">
        <is>
          <t>Service and training decorations</t>
        </is>
      </c>
      <c r="C54" s="9" t="n">
        <v>53</v>
      </c>
      <c r="D54" s="10" t="inlineStr">
        <is>
          <t>Fleet Marine Force Ribbon</t>
        </is>
      </c>
      <c r="E54" s="5">
        <f>IFERROR(IFERROR(IMAGE("https://commons.wikimedia.org/wiki/Special:FilePath/Fleet_Marine_Force_Ribbon_ribbon.svg?width=110"),IFERROR(IMAGE("https://commons.wikimedia.org/wiki/Special:FilePath/Fleet_Marine_Force_Ribbon_ribbon.png?width=110"),IFERROR(IMAGE("https://commons.wikimedia.org/wiki/Special:FilePath/Fleet_Marine_Force_Ribbon.svg?width=110"),IMAGE("https://commons.wikimedia.org/wiki/Special:FilePath/Fleet_Marine_Force_Ribbon.png?width=110")))),"")</f>
        <v/>
      </c>
      <c r="F54" s="11" t="inlineStr">
        <is>
          <t>https://commons.wikimedia.org/wiki/Special:FilePath/Fleet_Marine_Force_Ribbon_ribbon.svg?width=110</t>
        </is>
      </c>
      <c r="G54" s="4" t="inlineStr"/>
      <c r="H54" s="4" t="inlineStr"/>
      <c r="I54" s="2" t="inlineStr">
        <is>
          <t>https://en.wikipedia.org/wiki/Awards_and_decorations_of_the_United_States_Armed_Forces</t>
        </is>
      </c>
    </row>
    <row r="55" ht="44" customHeight="1">
      <c r="A55" s="6" t="inlineStr">
        <is>
          <t>Inactive and obsolete awards</t>
        </is>
      </c>
      <c r="B55" s="6" t="inlineStr">
        <is>
          <t>Service and training decorations</t>
        </is>
      </c>
      <c r="C55" s="9" t="n">
        <v>54</v>
      </c>
      <c r="D55" s="12" t="inlineStr">
        <is>
          <t>Naval Reserve Meritorious Service Medal</t>
        </is>
      </c>
      <c r="E55" s="7">
        <f>IFERROR(IFERROR(IMAGE("https://commons.wikimedia.org/wiki/Special:FilePath/Naval_Reserve_Meritorious_Service_Medal_ribbon.svg?width=110"),IFERROR(IMAGE("https://commons.wikimedia.org/wiki/Special:FilePath/Naval_Reserve_Meritorious_Service_Medal_ribbon.png?width=110"),IFERROR(IMAGE("https://commons.wikimedia.org/wiki/Special:FilePath/Naval_Reserve_Meritorious_Service_Medal.svg?width=110"),IMAGE("https://commons.wikimedia.org/wiki/Special:FilePath/Naval_Reserve_Meritorious_Service_Medal.png?width=110")))),"")</f>
        <v/>
      </c>
      <c r="F55" s="11" t="inlineStr">
        <is>
          <t>https://commons.wikimedia.org/wiki/Special:FilePath/Naval_Reserve_Meritorious_Service_Medal_ribbon.svg?width=110</t>
        </is>
      </c>
      <c r="G55" s="6" t="inlineStr"/>
      <c r="H55" s="6" t="inlineStr"/>
      <c r="I55" s="2" t="inlineStr">
        <is>
          <t>https://en.wikipedia.org/wiki/Awards_and_decorations_of_the_United_States_Armed_Forces</t>
        </is>
      </c>
    </row>
    <row r="56" ht="44" customHeight="1">
      <c r="A56" s="4" t="inlineStr">
        <is>
          <t>Inactive and obsolete awards</t>
        </is>
      </c>
      <c r="B56" s="4" t="inlineStr">
        <is>
          <t>Service and training decorations</t>
        </is>
      </c>
      <c r="C56" s="9" t="n">
        <v>55</v>
      </c>
      <c r="D56" s="10" t="inlineStr">
        <is>
          <t>Air Force Military Training Instructor Ribbon</t>
        </is>
      </c>
      <c r="E56" s="5">
        <f>IFERROR(IFERROR(IMAGE("https://commons.wikimedia.org/wiki/Special:FilePath/Air_Force_Military_Training_Instructor_Ribbon_ribbon.svg?width=110"),IFERROR(IMAGE("https://commons.wikimedia.org/wiki/Special:FilePath/Air_Force_Military_Training_Instructor_Ribbon_ribbon.png?width=110"),IFERROR(IMAGE("https://commons.wikimedia.org/wiki/Special:FilePath/Air_Force_Military_Training_Instructor_Ribbon.svg?width=110"),IMAGE("https://commons.wikimedia.org/wiki/Special:FilePath/Air_Force_Military_Training_Instructor_Ribbon.png?width=110")))),"")</f>
        <v/>
      </c>
      <c r="F56" s="11" t="inlineStr">
        <is>
          <t>https://commons.wikimedia.org/wiki/Special:FilePath/Air_Force_Military_Training_Instructor_Ribbon_ribbon.svg?width=110</t>
        </is>
      </c>
      <c r="G56" s="4" t="inlineStr"/>
      <c r="H56" s="4" t="inlineStr"/>
      <c r="I56" s="2" t="inlineStr">
        <is>
          <t>https://en.wikipedia.org/wiki/Awards_and_decorations_of_the_United_States_Armed_Forces</t>
        </is>
      </c>
    </row>
    <row r="57" ht="44" customHeight="1">
      <c r="A57" s="6" t="inlineStr">
        <is>
          <t>Inactive and obsolete awards</t>
        </is>
      </c>
      <c r="B57" s="6" t="inlineStr">
        <is>
          <t>Service and training decorations</t>
        </is>
      </c>
      <c r="C57" s="9" t="n">
        <v>56</v>
      </c>
      <c r="D57" s="12" t="inlineStr">
        <is>
          <t>Air Force Recruiter Ribbon</t>
        </is>
      </c>
      <c r="E57" s="7">
        <f>IFERROR(IFERROR(IMAGE("https://commons.wikimedia.org/wiki/Special:FilePath/Air_Force_Recruiter_Ribbon_ribbon.svg?width=110"),IFERROR(IMAGE("https://commons.wikimedia.org/wiki/Special:FilePath/Air_Force_Recruiter_Ribbon_ribbon.png?width=110"),IFERROR(IMAGE("https://commons.wikimedia.org/wiki/Special:FilePath/Air_Force_Recruiter_Ribbon.svg?width=110"),IMAGE("https://commons.wikimedia.org/wiki/Special:FilePath/Air_Force_Recruiter_Ribbon.png?width=110")))),"")</f>
        <v/>
      </c>
      <c r="F57" s="11" t="inlineStr">
        <is>
          <t>https://commons.wikimedia.org/wiki/Special:FilePath/Air_Force_Recruiter_Ribbon_ribbon.svg?width=110</t>
        </is>
      </c>
      <c r="G57" s="6" t="inlineStr"/>
      <c r="H57" s="6" t="inlineStr"/>
      <c r="I57" s="2" t="inlineStr">
        <is>
          <t>https://en.wikipedia.org/wiki/Awards_and_decorations_of_the_United_States_Armed_Forces</t>
        </is>
      </c>
    </row>
    <row r="58" ht="44" customHeight="1">
      <c r="A58" s="4" t="inlineStr">
        <is>
          <t>Inactive and obsolete awards</t>
        </is>
      </c>
      <c r="B58" s="4" t="inlineStr">
        <is>
          <t>Marksmanship</t>
        </is>
      </c>
      <c r="C58" s="9" t="n">
        <v>57</v>
      </c>
      <c r="D58" s="10" t="inlineStr">
        <is>
          <t>Navy Distinguished Marksman and Pistol Shot Ribbon</t>
        </is>
      </c>
      <c r="E58" s="5">
        <f>IFERROR(IFERROR(IMAGE("https://commons.wikimedia.org/wiki/Special:FilePath/Navy_Distinguished_Marksman_and_Pistol_Shot_Ribbon_ribbon.svg?width=110"),IFERROR(IMAGE("https://commons.wikimedia.org/wiki/Special:FilePath/Navy_Distinguished_Marksman_and_Pistol_Shot_Ribbon_ribbon.png?width=110"),IFERROR(IMAGE("https://commons.wikimedia.org/wiki/Special:FilePath/Navy_Distinguished_Marksman_and_Pistol_Shot_Ribbon.svg?width=110"),IMAGE("https://commons.wikimedia.org/wiki/Special:FilePath/Navy_Distinguished_Marksman_and_Pistol_Shot_Ribbon.png?width=110")))),"")</f>
        <v/>
      </c>
      <c r="F58" s="11" t="inlineStr">
        <is>
          <t>https://commons.wikimedia.org/wiki/Special:FilePath/Navy_Distinguished_Marksman_and_Pistol_Shot_Ribbon_ribbon.svg?width=110</t>
        </is>
      </c>
      <c r="G58" s="4" t="inlineStr"/>
      <c r="H58" s="4" t="inlineStr"/>
      <c r="I58" s="2" t="inlineStr">
        <is>
          <t>https://en.wikipedia.org/wiki/Awards_and_decorations_of_the_United_States_Armed_Forces</t>
        </is>
      </c>
    </row>
    <row r="59" ht="44" customHeight="1">
      <c r="A59" s="6" t="inlineStr">
        <is>
          <t>Inactive and obsolete awards</t>
        </is>
      </c>
      <c r="B59" s="6" t="inlineStr">
        <is>
          <t>Marksmanship</t>
        </is>
      </c>
      <c r="C59" s="9" t="n">
        <v>58</v>
      </c>
      <c r="D59" s="12" t="inlineStr">
        <is>
          <t>Navy Distinguished Marksman Ribbon</t>
        </is>
      </c>
      <c r="E59" s="7">
        <f>IFERROR(IFERROR(IMAGE("https://commons.wikimedia.org/wiki/Special:FilePath/Navy_Distinguished_Marksman_Ribbon_ribbon.svg?width=110"),IFERROR(IMAGE("https://commons.wikimedia.org/wiki/Special:FilePath/Navy_Distinguished_Marksman_Ribbon_ribbon.png?width=110"),IFERROR(IMAGE("https://commons.wikimedia.org/wiki/Special:FilePath/Navy_Distinguished_Marksman_Ribbon.svg?width=110"),IMAGE("https://commons.wikimedia.org/wiki/Special:FilePath/Navy_Distinguished_Marksman_Ribbon.png?width=110")))),"")</f>
        <v/>
      </c>
      <c r="F59" s="11" t="inlineStr">
        <is>
          <t>https://commons.wikimedia.org/wiki/Special:FilePath/Navy_Distinguished_Marksman_Ribbon_ribbon.svg?width=110</t>
        </is>
      </c>
      <c r="G59" s="6" t="inlineStr"/>
      <c r="H59" s="6" t="inlineStr"/>
      <c r="I59" s="2" t="inlineStr">
        <is>
          <t>https://en.wikipedia.org/wiki/Awards_and_decorations_of_the_United_States_Armed_Forces</t>
        </is>
      </c>
    </row>
    <row r="60" ht="44" customHeight="1">
      <c r="A60" s="4" t="inlineStr">
        <is>
          <t>Inactive and obsolete awards</t>
        </is>
      </c>
      <c r="B60" s="4" t="inlineStr">
        <is>
          <t>Marksmanship</t>
        </is>
      </c>
      <c r="C60" s="9" t="n">
        <v>59</v>
      </c>
      <c r="D60" s="10" t="inlineStr">
        <is>
          <t>Navy Distinguished Pistol Shot Ribbon</t>
        </is>
      </c>
      <c r="E60" s="5">
        <f>IFERROR(IFERROR(IMAGE("https://commons.wikimedia.org/wiki/Special:FilePath/Navy_Distinguished_Pistol_Shot_Ribbon_ribbon.svg?width=110"),IFERROR(IMAGE("https://commons.wikimedia.org/wiki/Special:FilePath/Navy_Distinguished_Pistol_Shot_Ribbon_ribbon.png?width=110"),IFERROR(IMAGE("https://commons.wikimedia.org/wiki/Special:FilePath/Navy_Distinguished_Pistol_Shot_Ribbon.svg?width=110"),IMAGE("https://commons.wikimedia.org/wiki/Special:FilePath/Navy_Distinguished_Pistol_Shot_Ribbon.png?width=110")))),"")</f>
        <v/>
      </c>
      <c r="F60" s="11" t="inlineStr">
        <is>
          <t>https://commons.wikimedia.org/wiki/Special:FilePath/Navy_Distinguished_Pistol_Shot_Ribbon_ribbon.svg?width=110</t>
        </is>
      </c>
      <c r="G60" s="4" t="inlineStr"/>
      <c r="H60" s="4" t="inlineStr"/>
      <c r="I60" s="2" t="inlineStr">
        <is>
          <t>https://en.wikipedia.org/wiki/Awards_and_decorations_of_the_United_States_Armed_Forces</t>
        </is>
      </c>
    </row>
    <row r="61" ht="44" customHeight="1">
      <c r="A61" s="6" t="inlineStr">
        <is>
          <t>Inactive and obsolete awards</t>
        </is>
      </c>
      <c r="B61" s="6" t="inlineStr">
        <is>
          <t>Discontinued or proposed, personal decorations</t>
        </is>
      </c>
      <c r="C61" s="9" t="n">
        <v>60</v>
      </c>
      <c r="D61" s="12" t="inlineStr">
        <is>
          <t>Distinguished Warfare Medal</t>
        </is>
      </c>
      <c r="E61" s="7">
        <f>IFERROR(IFERROR(IMAGE("https://commons.wikimedia.org/wiki/Special:FilePath/Distinguished_Warfare_Medal_ribbon.svg?width=110"),IFERROR(IMAGE("https://commons.wikimedia.org/wiki/Special:FilePath/Distinguished_Warfare_Medal_ribbon.png?width=110"),IFERROR(IMAGE("https://commons.wikimedia.org/wiki/Special:FilePath/Distinguished_Warfare_Medal.svg?width=110"),IMAGE("https://commons.wikimedia.org/wiki/Special:FilePath/Distinguished_Warfare_Medal.png?width=110")))),"")</f>
        <v/>
      </c>
      <c r="F61" s="11" t="inlineStr">
        <is>
          <t>https://commons.wikimedia.org/wiki/Special:FilePath/Distinguished_Warfare_Medal_ribbon.svg?width=110</t>
        </is>
      </c>
      <c r="G61" s="6" t="inlineStr"/>
      <c r="H61" s="6" t="inlineStr"/>
      <c r="I61" s="2" t="inlineStr">
        <is>
          <t>https://en.wikipedia.org/wiki/Awards_and_decorations_of_the_United_States_Armed_Forces</t>
        </is>
      </c>
    </row>
    <row r="62" ht="44" customHeight="1">
      <c r="A62" s="4" t="inlineStr">
        <is>
          <t>Inactive and obsolete awards</t>
        </is>
      </c>
      <c r="B62" s="4" t="inlineStr">
        <is>
          <t>Discontinued or proposed, combat service decorations</t>
        </is>
      </c>
      <c r="C62" s="9" t="n">
        <v>61</v>
      </c>
      <c r="D62" s="10" t="inlineStr">
        <is>
          <t>Combat Recognition Ribbon</t>
        </is>
      </c>
      <c r="E62" s="5">
        <f>IFERROR(IFERROR(IMAGE("https://commons.wikimedia.org/wiki/Special:FilePath/Combat_Recognition_Ribbon_ribbon.svg?width=110"),IFERROR(IMAGE("https://commons.wikimedia.org/wiki/Special:FilePath/Combat_Recognition_Ribbon_ribbon.png?width=110"),IFERROR(IMAGE("https://commons.wikimedia.org/wiki/Special:FilePath/Combat_Recognition_Ribbon.svg?width=110"),IMAGE("https://commons.wikimedia.org/wiki/Special:FilePath/Combat_Recognition_Ribbon.png?width=110")))),"")</f>
        <v/>
      </c>
      <c r="F62" s="11" t="inlineStr">
        <is>
          <t>https://commons.wikimedia.org/wiki/Special:FilePath/Combat_Recognition_Ribbon_ribbon.svg?width=110</t>
        </is>
      </c>
      <c r="G62" s="4" t="inlineStr"/>
      <c r="H62" s="4" t="inlineStr"/>
      <c r="I62" s="2" t="inlineStr">
        <is>
          <t>https://en.wikipedia.org/wiki/Awards_and_decorations_of_the_United_States_Armed_Forces</t>
        </is>
      </c>
    </row>
    <row r="63" ht="44" customHeight="1">
      <c r="A63" s="6" t="inlineStr">
        <is>
          <t>Inactive and obsolete awards</t>
        </is>
      </c>
      <c r="B63" s="6" t="inlineStr">
        <is>
          <t>Discontinued or proposed, general service award</t>
        </is>
      </c>
      <c r="C63" s="9" t="n">
        <v>62</v>
      </c>
      <c r="D63" s="12" t="inlineStr">
        <is>
          <t>Cold War Victory Medal</t>
        </is>
      </c>
      <c r="E63" s="7">
        <f>IFERROR(IFERROR(IMAGE("https://commons.wikimedia.org/wiki/Special:FilePath/Cold_War_Victory_Medal_ribbon.svg?width=110"),IFERROR(IMAGE("https://commons.wikimedia.org/wiki/Special:FilePath/Cold_War_Victory_Medal_ribbon.png?width=110"),IFERROR(IMAGE("https://commons.wikimedia.org/wiki/Special:FilePath/Cold_War_Victory_Medal.svg?width=110"),IMAGE("https://commons.wikimedia.org/wiki/Special:FilePath/Cold_War_Victory_Medal.png?width=110")))),"")</f>
        <v/>
      </c>
      <c r="F63" s="11" t="inlineStr">
        <is>
          <t>https://commons.wikimedia.org/wiki/Special:FilePath/Cold_War_Victory_Medal_ribbon.svg?width=110</t>
        </is>
      </c>
      <c r="G63" s="6" t="inlineStr"/>
      <c r="H63" s="6" t="inlineStr"/>
      <c r="I63" s="2" t="inlineStr">
        <is>
          <t>https://en.wikipedia.org/wiki/Awards_and_decorations_of_the_United_States_Armed_Forces</t>
        </is>
      </c>
    </row>
    <row r="64" ht="44" customHeight="1">
      <c r="A64" s="4" t="inlineStr">
        <is>
          <t>Inactive and obsolete awards</t>
        </is>
      </c>
      <c r="B64" s="4" t="inlineStr">
        <is>
          <t>Discontinued or proposed, general service award</t>
        </is>
      </c>
      <c r="C64" s="9" t="n">
        <v>63</v>
      </c>
      <c r="D64" s="10" t="inlineStr">
        <is>
          <t>Iraq Commitment Medal</t>
        </is>
      </c>
      <c r="E64" s="5">
        <f>IFERROR(IFERROR(IMAGE("https://commons.wikimedia.org/wiki/Special:FilePath/Iraq_Commitment_Medal_ribbon.svg?width=110"),IFERROR(IMAGE("https://commons.wikimedia.org/wiki/Special:FilePath/Iraq_Commitment_Medal_ribbon.png?width=110"),IFERROR(IMAGE("https://commons.wikimedia.org/wiki/Special:FilePath/Iraq_Commitment_Medal.svg?width=110"),IMAGE("https://commons.wikimedia.org/wiki/Special:FilePath/Iraq_Commitment_Medal.png?width=110")))),"")</f>
        <v/>
      </c>
      <c r="F64" s="11" t="inlineStr">
        <is>
          <t>https://commons.wikimedia.org/wiki/Special:FilePath/Iraq_Commitment_Medal_ribbon.svg?width=110</t>
        </is>
      </c>
      <c r="G64" s="4" t="inlineStr"/>
      <c r="H64" s="4" t="inlineStr"/>
      <c r="I64" s="2" t="inlineStr">
        <is>
          <t>https://en.wikipedia.org/wiki/Awards_and_decorations_of_the_United_States_Armed_Forces</t>
        </is>
      </c>
    </row>
    <row r="65" ht="44" customHeight="1">
      <c r="A65" s="6" t="inlineStr">
        <is>
          <t>Inactive and obsolete awards</t>
        </is>
      </c>
      <c r="B65" s="6" t="inlineStr">
        <is>
          <t>Single service awards, personal valor decorations</t>
        </is>
      </c>
      <c r="C65" s="9" t="n">
        <v>64</v>
      </c>
      <c r="D65" s="12" t="inlineStr">
        <is>
          <t>Four Chaplains' Medal</t>
        </is>
      </c>
      <c r="E65" s="7">
        <f>IFERROR(IFERROR(IMAGE("https://commons.wikimedia.org/wiki/Special:FilePath/Four_Chaplains_Medal_ribbon.svg?width=110"),IFERROR(IMAGE("https://commons.wikimedia.org/wiki/Special:FilePath/Four_Chaplains_Medal_ribbon.png?width=110"),IFERROR(IMAGE("https://commons.wikimedia.org/wiki/Special:FilePath/Four_Chaplains_Medal.svg?width=110"),IMAGE("https://commons.wikimedia.org/wiki/Special:FilePath/Four_Chaplains_Medal.png?width=110")))),"")</f>
        <v/>
      </c>
      <c r="F65" s="11" t="inlineStr">
        <is>
          <t>https://commons.wikimedia.org/wiki/Special:FilePath/Four_Chaplains_Medal_ribbon.svg?width=110</t>
        </is>
      </c>
      <c r="G65" s="6" t="inlineStr"/>
      <c r="H65" s="6" t="inlineStr"/>
      <c r="I65" s="2" t="inlineStr">
        <is>
          <t>https://en.wikipedia.org/wiki/Awards_and_decorations_of_the_United_States_Armed_Forces</t>
        </is>
      </c>
    </row>
    <row r="66" ht="44" customHeight="1">
      <c r="A66" s="4" t="inlineStr">
        <is>
          <t>Inactive and obsolete awards</t>
        </is>
      </c>
      <c r="B66" s="4" t="inlineStr">
        <is>
          <t>Single service awards, personal commemorative decorations</t>
        </is>
      </c>
      <c r="C66" s="9" t="n">
        <v>65</v>
      </c>
      <c r="D66" s="10" t="inlineStr">
        <is>
          <t>Cardenas Medal of Honor</t>
        </is>
      </c>
      <c r="E66" s="5">
        <f>IFERROR(IFERROR(IMAGE("https://commons.wikimedia.org/wiki/Special:FilePath/Cardenas_Medal_of_Honor_ribbon.svg?width=110"),IFERROR(IMAGE("https://commons.wikimedia.org/wiki/Special:FilePath/Cardenas_Medal_of_Honor_ribbon.png?width=110"),IFERROR(IMAGE("https://commons.wikimedia.org/wiki/Special:FilePath/Cardenas_Medal_of_Honor.svg?width=110"),IFERROR(IMAGE("https://commons.wikimedia.org/wiki/Special:FilePath/Cardenas_Medal_of_Honor.png?width=110"),IFERROR(IMAGE("https://commons.wikimedia.org/wiki/Special:FilePath/Cardenas_of_Honor_Medal_ribbon.svg?width=110"),IMAGE("https://commons.wikimedia.org/wiki/Special:FilePath/Cardenas_of_Honor_Medal_ribbon.png?width=110")))))),"")</f>
        <v/>
      </c>
      <c r="F66" s="11" t="inlineStr">
        <is>
          <t>https://commons.wikimedia.org/wiki/Special:FilePath/Cardenas_Medal_of_Honor_ribbon.svg?width=110</t>
        </is>
      </c>
      <c r="G66" s="4" t="inlineStr"/>
      <c r="H66" s="4" t="inlineStr"/>
      <c r="I66" s="2" t="inlineStr">
        <is>
          <t>https://en.wikipedia.org/wiki/Awards_and_decorations_of_the_United_States_Armed_Forces</t>
        </is>
      </c>
    </row>
    <row r="67" ht="44" customHeight="1">
      <c r="A67" s="6" t="inlineStr">
        <is>
          <t>Inactive and obsolete awards</t>
        </is>
      </c>
      <c r="B67" s="6" t="inlineStr">
        <is>
          <t>Single service awards, personal commemorative decorations</t>
        </is>
      </c>
      <c r="C67" s="9" t="n">
        <v>66</v>
      </c>
      <c r="D67" s="12" t="inlineStr">
        <is>
          <t>NC-4 Medal</t>
        </is>
      </c>
      <c r="E67" s="7">
        <f>IFERROR(IFERROR(IMAGE("https://commons.wikimedia.org/wiki/Special:FilePath/NC-4_Medal_ribbon.svg?width=110"),IFERROR(IMAGE("https://commons.wikimedia.org/wiki/Special:FilePath/NC-4_Medal_ribbon.png?width=110"),IFERROR(IMAGE("https://commons.wikimedia.org/wiki/Special:FilePath/NC-4_Medal.svg?width=110"),IMAGE("https://commons.wikimedia.org/wiki/Special:FilePath/NC-4_Medal.png?width=110")))),"")</f>
        <v/>
      </c>
      <c r="F67" s="11" t="inlineStr">
        <is>
          <t>https://commons.wikimedia.org/wiki/Special:FilePath/NC-4_Medal_ribbon.svg?width=110</t>
        </is>
      </c>
      <c r="G67" s="6" t="inlineStr"/>
      <c r="H67" s="6" t="inlineStr"/>
      <c r="I67" s="2" t="inlineStr">
        <is>
          <t>https://en.wikipedia.org/wiki/Awards_and_decorations_of_the_United_States_Armed_Forces</t>
        </is>
      </c>
    </row>
    <row r="68" ht="44" customHeight="1">
      <c r="A68" s="4" t="inlineStr">
        <is>
          <t>Inactive and obsolete awards</t>
        </is>
      </c>
      <c r="B68" s="4" t="inlineStr">
        <is>
          <t>Single service awards, exploratory commemorative decorations</t>
        </is>
      </c>
      <c r="C68" s="9" t="n">
        <v>67</v>
      </c>
      <c r="D68" s="10" t="inlineStr">
        <is>
          <t>Peary Polar Expedition Medal</t>
        </is>
      </c>
      <c r="E68" s="5">
        <f>IFERROR(IFERROR(IMAGE("https://commons.wikimedia.org/wiki/Special:FilePath/Peary_Polar_Expedition_Medal_ribbon.svg?width=110"),IFERROR(IMAGE("https://commons.wikimedia.org/wiki/Special:FilePath/Peary_Polar_Expedition_Medal_ribbon.png?width=110"),IFERROR(IMAGE("https://commons.wikimedia.org/wiki/Special:FilePath/Peary_Polar_Expedition_Medal.svg?width=110"),IMAGE("https://commons.wikimedia.org/wiki/Special:FilePath/Peary_Polar_Expedition_Medal.png?width=110")))),"")</f>
        <v/>
      </c>
      <c r="F68" s="11" t="inlineStr">
        <is>
          <t>https://commons.wikimedia.org/wiki/Special:FilePath/Peary_Polar_Expedition_Medal_ribbon.svg?width=110</t>
        </is>
      </c>
      <c r="G68" s="4" t="inlineStr"/>
      <c r="H68" s="4" t="inlineStr"/>
      <c r="I68" s="2" t="inlineStr">
        <is>
          <t>https://en.wikipedia.org/wiki/Awards_and_decorations_of_the_United_States_Armed_Forces</t>
        </is>
      </c>
    </row>
    <row r="69" ht="44" customHeight="1">
      <c r="A69" s="6" t="inlineStr">
        <is>
          <t>Inactive and obsolete awards</t>
        </is>
      </c>
      <c r="B69" s="6" t="inlineStr">
        <is>
          <t>Single service awards, exploratory commemorative decorations</t>
        </is>
      </c>
      <c r="C69" s="9" t="n">
        <v>68</v>
      </c>
      <c r="D69" s="12" t="inlineStr">
        <is>
          <t>Byrd Antarctic Expedition Medal</t>
        </is>
      </c>
      <c r="E69" s="7">
        <f>IFERROR(IFERROR(IMAGE("https://commons.wikimedia.org/wiki/Special:FilePath/Byrd_Antarctic_Expedition_Medal_ribbon.svg?width=110"),IFERROR(IMAGE("https://commons.wikimedia.org/wiki/Special:FilePath/Byrd_Antarctic_Expedition_Medal_ribbon.png?width=110"),IFERROR(IMAGE("https://commons.wikimedia.org/wiki/Special:FilePath/Byrd_Antarctic_Expedition_Medal.svg?width=110"),IMAGE("https://commons.wikimedia.org/wiki/Special:FilePath/Byrd_Antarctic_Expedition_Medal.png?width=110")))),"")</f>
        <v/>
      </c>
      <c r="F69" s="11" t="inlineStr">
        <is>
          <t>https://commons.wikimedia.org/wiki/Special:FilePath/Byrd_Antarctic_Expedition_Medal_ribbon.svg?width=110</t>
        </is>
      </c>
      <c r="G69" s="6" t="inlineStr"/>
      <c r="H69" s="6" t="inlineStr"/>
      <c r="I69" s="2" t="inlineStr">
        <is>
          <t>https://en.wikipedia.org/wiki/Awards_and_decorations_of_the_United_States_Armed_Forces</t>
        </is>
      </c>
    </row>
    <row r="70" ht="44" customHeight="1">
      <c r="A70" s="4" t="inlineStr">
        <is>
          <t>Inactive and obsolete awards</t>
        </is>
      </c>
      <c r="B70" s="4" t="inlineStr">
        <is>
          <t>Single service awards, exploratory commemorative decorations</t>
        </is>
      </c>
      <c r="C70" s="9" t="n">
        <v>69</v>
      </c>
      <c r="D70" s="10" t="inlineStr">
        <is>
          <t>Second Byrd Antarctic Expedition Medal</t>
        </is>
      </c>
      <c r="E70" s="5">
        <f>IFERROR(IFERROR(IMAGE("https://commons.wikimedia.org/wiki/Special:FilePath/Second_Byrd_Antarctic_Expedition_Medal_ribbon.svg?width=110"),IFERROR(IMAGE("https://commons.wikimedia.org/wiki/Special:FilePath/Second_Byrd_Antarctic_Expedition_Medal_ribbon.png?width=110"),IFERROR(IMAGE("https://commons.wikimedia.org/wiki/Special:FilePath/Second_Byrd_Antarctic_Expedition_Medal.svg?width=110"),IMAGE("https://commons.wikimedia.org/wiki/Special:FilePath/Second_Byrd_Antarctic_Expedition_Medal.png?width=110")))),"")</f>
        <v/>
      </c>
      <c r="F70" s="11" t="inlineStr">
        <is>
          <t>https://commons.wikimedia.org/wiki/Special:FilePath/Second_Byrd_Antarctic_Expedition_Medal_ribbon.svg?width=110</t>
        </is>
      </c>
      <c r="G70" s="4" t="inlineStr"/>
      <c r="H70" s="4" t="inlineStr"/>
      <c r="I70" s="2" t="inlineStr">
        <is>
          <t>https://en.wikipedia.org/wiki/Awards_and_decorations_of_the_United_States_Armed_Forces</t>
        </is>
      </c>
    </row>
    <row r="71" ht="44" customHeight="1">
      <c r="A71" s="6" t="inlineStr">
        <is>
          <t>Inactive and obsolete awards</t>
        </is>
      </c>
      <c r="B71" s="6" t="inlineStr">
        <is>
          <t>Unofficial decorations</t>
        </is>
      </c>
      <c r="C71" s="9" t="n">
        <v>70</v>
      </c>
      <c r="D71" s="12" t="inlineStr">
        <is>
          <t>Kearny Cross</t>
        </is>
      </c>
      <c r="E71" s="7">
        <f>IFERROR(IFERROR(IMAGE("https://commons.wikimedia.org/wiki/Special:FilePath/Kearny_Cross_ribbon.svg?width=110"),IFERROR(IMAGE("https://commons.wikimedia.org/wiki/Special:FilePath/Kearny_Cross_ribbon.png?width=110"),IFERROR(IMAGE("https://commons.wikimedia.org/wiki/Special:FilePath/Kearny_Cross.svg?width=110"),IMAGE("https://commons.wikimedia.org/wiki/Special:FilePath/Kearny_Cross.png?width=110")))),"")</f>
        <v/>
      </c>
      <c r="F71" s="11" t="inlineStr">
        <is>
          <t>https://commons.wikimedia.org/wiki/Special:FilePath/Kearny_Cross_ribbon.svg?width=110</t>
        </is>
      </c>
      <c r="G71" s="6" t="inlineStr"/>
      <c r="H71" s="6" t="inlineStr"/>
      <c r="I71" s="2" t="inlineStr">
        <is>
          <t>https://en.wikipedia.org/wiki/Awards_and_decorations_of_the_United_States_Armed_Forces</t>
        </is>
      </c>
    </row>
    <row r="72" ht="44" customHeight="1">
      <c r="A72" s="4" t="inlineStr">
        <is>
          <t>Inactive and obsolete awards</t>
        </is>
      </c>
      <c r="B72" s="4" t="inlineStr">
        <is>
          <t>Unofficial decorations</t>
        </is>
      </c>
      <c r="C72" s="9" t="n">
        <v>71</v>
      </c>
      <c r="D72" s="10" t="inlineStr">
        <is>
          <t>Kearny Medal</t>
        </is>
      </c>
      <c r="E72" s="5">
        <f>IFERROR(IFERROR(IMAGE("https://commons.wikimedia.org/wiki/Special:FilePath/Kearny_Medal_ribbon.svg?width=110"),IFERROR(IMAGE("https://commons.wikimedia.org/wiki/Special:FilePath/Kearny_Medal_ribbon.png?width=110"),IFERROR(IMAGE("https://commons.wikimedia.org/wiki/Special:FilePath/Kearny_Medal.svg?width=110"),IMAGE("https://commons.wikimedia.org/wiki/Special:FilePath/Kearny_Medal.png?width=110")))),"")</f>
        <v/>
      </c>
      <c r="F72" s="11" t="inlineStr">
        <is>
          <t>https://commons.wikimedia.org/wiki/Special:FilePath/Kearny_Medal_ribbon.svg?width=110</t>
        </is>
      </c>
      <c r="G72" s="4" t="inlineStr"/>
      <c r="H72" s="4" t="inlineStr"/>
      <c r="I72" s="2" t="inlineStr">
        <is>
          <t>https://en.wikipedia.org/wiki/Awards_and_decorations_of_the_United_States_Armed_Forces</t>
        </is>
      </c>
    </row>
    <row r="73" ht="44" customHeight="1">
      <c r="A73" s="6" t="inlineStr">
        <is>
          <t>Inactive and obsolete awards</t>
        </is>
      </c>
      <c r="B73" s="6" t="inlineStr">
        <is>
          <t>Unofficial decorations</t>
        </is>
      </c>
      <c r="C73" s="9" t="n">
        <v>72</v>
      </c>
      <c r="D73" s="12" t="inlineStr">
        <is>
          <t>Butler Medal</t>
        </is>
      </c>
      <c r="E73" s="7">
        <f>IFERROR(IFERROR(IMAGE("https://commons.wikimedia.org/wiki/Special:FilePath/Butler_Medal_ribbon.svg?width=110"),IFERROR(IMAGE("https://commons.wikimedia.org/wiki/Special:FilePath/Butler_Medal_ribbon.png?width=110"),IFERROR(IMAGE("https://commons.wikimedia.org/wiki/Special:FilePath/Butler_Medal.svg?width=110"),IMAGE("https://commons.wikimedia.org/wiki/Special:FilePath/Butler_Medal.png?width=110")))),"")</f>
        <v/>
      </c>
      <c r="F73" s="11" t="inlineStr">
        <is>
          <t>https://commons.wikimedia.org/wiki/Special:FilePath/Butler_Medal_ribbon.svg?width=110</t>
        </is>
      </c>
      <c r="G73" s="6" t="inlineStr"/>
      <c r="H73" s="6" t="inlineStr"/>
      <c r="I73" s="2" t="inlineStr">
        <is>
          <t>https://en.wikipedia.org/wiki/Awards_and_decorations_of_the_United_States_Armed_Forces</t>
        </is>
      </c>
    </row>
    <row r="74" ht="44" customHeight="1">
      <c r="A74" s="4" t="inlineStr">
        <is>
          <t>Inactive and obsolete awards</t>
        </is>
      </c>
      <c r="B74" s="4" t="inlineStr">
        <is>
          <t>Unofficial decorations</t>
        </is>
      </c>
      <c r="C74" s="9" t="n">
        <v>73</v>
      </c>
      <c r="D74" s="10" t="inlineStr">
        <is>
          <t>Gillmore Medal</t>
        </is>
      </c>
      <c r="E74" s="5">
        <f>IFERROR(IFERROR(IMAGE("https://commons.wikimedia.org/wiki/Special:FilePath/Gillmore_Medal_ribbon.svg?width=110"),IFERROR(IMAGE("https://commons.wikimedia.org/wiki/Special:FilePath/Gillmore_Medal_ribbon.png?width=110"),IFERROR(IMAGE("https://commons.wikimedia.org/wiki/Special:FilePath/Gillmore_Medal.svg?width=110"),IMAGE("https://commons.wikimedia.org/wiki/Special:FilePath/Gillmore_Medal.png?width=110")))),"")</f>
        <v/>
      </c>
      <c r="F74" s="11" t="inlineStr">
        <is>
          <t>https://commons.wikimedia.org/wiki/Special:FilePath/Gillmore_Medal_ribbon.svg?width=110</t>
        </is>
      </c>
      <c r="G74" s="4" t="inlineStr"/>
      <c r="H74" s="4" t="inlineStr">
        <is>
          <t>Gillmore Medal is listed as having no ribbon on the page</t>
        </is>
      </c>
      <c r="I74" s="2" t="inlineStr">
        <is>
          <t>https://en.wikipedia.org/wiki/Awards_and_decorations_of_the_United_States_Armed_Forces</t>
        </is>
      </c>
    </row>
    <row r="75" ht="44" customHeight="1">
      <c r="A75" s="6" t="inlineStr">
        <is>
          <t>Inactive and obsolete awards</t>
        </is>
      </c>
      <c r="B75" s="6" t="inlineStr">
        <is>
          <t>Unofficial decorations</t>
        </is>
      </c>
      <c r="C75" s="9" t="n">
        <v>74</v>
      </c>
      <c r="D75" s="12" t="inlineStr">
        <is>
          <t>Walter Reed Medal</t>
        </is>
      </c>
      <c r="E75" s="7">
        <f>IFERROR(IFERROR(IMAGE("https://commons.wikimedia.org/wiki/Special:FilePath/Walter_Reed_Medal_ribbon.svg?width=110"),IFERROR(IMAGE("https://commons.wikimedia.org/wiki/Special:FilePath/Walter_Reed_Medal_ribbon.png?width=110"),IFERROR(IMAGE("https://commons.wikimedia.org/wiki/Special:FilePath/Walter_Reed_Medal.svg?width=110"),IMAGE("https://commons.wikimedia.org/wiki/Special:FilePath/Walter_Reed_Medal.png?width=110")))),"")</f>
        <v/>
      </c>
      <c r="F75" s="11" t="inlineStr">
        <is>
          <t>https://commons.wikimedia.org/wiki/Special:FilePath/Walter_Reed_Medal_ribbon.svg?width=110</t>
        </is>
      </c>
      <c r="G75" s="6" t="inlineStr"/>
      <c r="H75" s="6" t="inlineStr"/>
      <c r="I75" s="2" t="inlineStr">
        <is>
          <t>https://en.wikipedia.org/wiki/Awards_and_decorations_of_the_United_States_Armed_Forces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38" customWidth="1" min="4" max="4"/>
    <col width="18" customWidth="1" min="5" max="5"/>
    <col width="78" customWidth="1" min="6" max="6"/>
    <col width="20" customWidth="1" min="7" max="7"/>
    <col width="52" customWidth="1" min="8" max="8"/>
    <col width="90" customWidth="1" min="9" max="9"/>
  </cols>
  <sheetData>
    <row r="1">
      <c r="A1" s="3" t="inlineStr">
        <is>
          <t>Major Section</t>
        </is>
      </c>
      <c r="B1" s="3" t="inlineStr">
        <is>
          <t>Category</t>
        </is>
      </c>
      <c r="C1" s="8" t="inlineStr">
        <is>
          <t>Precedence No.</t>
        </is>
      </c>
      <c r="D1" s="3" t="inlineStr">
        <is>
          <t>Ribbon Name</t>
        </is>
      </c>
      <c r="E1" s="3" t="inlineStr">
        <is>
          <t>Ribbon PNG</t>
        </is>
      </c>
      <c r="F1" s="8" t="inlineStr">
        <is>
          <t>Ribbon Image URL</t>
        </is>
      </c>
      <c r="G1" s="3" t="inlineStr">
        <is>
          <t>Qualifier / Branch</t>
        </is>
      </c>
      <c r="H1" s="3" t="inlineStr">
        <is>
          <t>Notes</t>
        </is>
      </c>
      <c r="I1" s="3" t="inlineStr">
        <is>
          <t>Source URL</t>
        </is>
      </c>
    </row>
    <row r="2" ht="44" customHeight="1">
      <c r="A2" s="4" t="inlineStr">
        <is>
          <t>Foreign and international awards</t>
        </is>
      </c>
      <c r="B2" s="4" t="inlineStr">
        <is>
          <t>World War I</t>
        </is>
      </c>
      <c r="C2" s="9" t="n">
        <v>1</v>
      </c>
      <c r="D2" s="10" t="inlineStr">
        <is>
          <t>French Legion of Honor</t>
        </is>
      </c>
      <c r="E2" s="5">
        <f>IFERROR(IFERROR(IMAGE("https://commons.wikimedia.org/wiki/Special:FilePath/French_Legion_of_Honor_ribbon.svg?width=110"),IFERROR(IMAGE("https://commons.wikimedia.org/wiki/Special:FilePath/French_Legion_of_Honor_ribbon.png?width=110"),IFERROR(IMAGE("https://commons.wikimedia.org/wiki/Special:FilePath/French_Legion_of_Honor.svg?width=110"),IMAGE("https://commons.wikimedia.org/wiki/Special:FilePath/French_Legion_of_Honor.png?width=110")))),"")</f>
        <v/>
      </c>
      <c r="F2" s="11" t="inlineStr">
        <is>
          <t>https://commons.wikimedia.org/wiki/Special:FilePath/French_Legion_of_Honor_ribbon.svg?width=110</t>
        </is>
      </c>
      <c r="G2" s="4" t="inlineStr"/>
      <c r="H2" s="4" t="inlineStr"/>
      <c r="I2" s="2" t="inlineStr">
        <is>
          <t>https://en.wikipedia.org/wiki/Awards_and_decorations_of_the_United_States_Armed_Forces</t>
        </is>
      </c>
    </row>
    <row r="3" ht="44" customHeight="1">
      <c r="A3" s="6" t="inlineStr">
        <is>
          <t>Foreign and international awards</t>
        </is>
      </c>
      <c r="B3" s="6" t="inlineStr">
        <is>
          <t>World War I</t>
        </is>
      </c>
      <c r="C3" s="9" t="n">
        <v>2</v>
      </c>
      <c r="D3" s="12" t="inlineStr">
        <is>
          <t>British Order of the Bath</t>
        </is>
      </c>
      <c r="E3" s="7">
        <f>IFERROR(IFERROR(IMAGE("https://commons.wikimedia.org/wiki/Special:FilePath/British_Order_of_the_Bath_ribbon.svg?width=110"),IFERROR(IMAGE("https://commons.wikimedia.org/wiki/Special:FilePath/British_Order_of_the_Bath_ribbon.png?width=110"),IFERROR(IMAGE("https://commons.wikimedia.org/wiki/Special:FilePath/British_Order_of_the_Bath.svg?width=110"),IMAGE("https://commons.wikimedia.org/wiki/Special:FilePath/British_Order_of_the_Bath.png?width=110")))),"")</f>
        <v/>
      </c>
      <c r="F3" s="11" t="inlineStr">
        <is>
          <t>https://commons.wikimedia.org/wiki/Special:FilePath/British_Order_of_the_Bath_ribbon.svg?width=110</t>
        </is>
      </c>
      <c r="G3" s="6" t="inlineStr"/>
      <c r="H3" s="6" t="inlineStr"/>
      <c r="I3" s="2" t="inlineStr">
        <is>
          <t>https://en.wikipedia.org/wiki/Awards_and_decorations_of_the_United_States_Armed_Forces</t>
        </is>
      </c>
    </row>
    <row r="4" ht="44" customHeight="1">
      <c r="A4" s="4" t="inlineStr">
        <is>
          <t>Foreign and international awards</t>
        </is>
      </c>
      <c r="B4" s="4" t="inlineStr">
        <is>
          <t>World War I</t>
        </is>
      </c>
      <c r="C4" s="9" t="n">
        <v>3</v>
      </c>
      <c r="D4" s="10" t="inlineStr">
        <is>
          <t>French Military Medal</t>
        </is>
      </c>
      <c r="E4" s="5">
        <f>IFERROR(IFERROR(IMAGE("https://commons.wikimedia.org/wiki/Special:FilePath/French_Military_Medal_ribbon.svg?width=110"),IFERROR(IMAGE("https://commons.wikimedia.org/wiki/Special:FilePath/French_Military_Medal_ribbon.png?width=110"),IFERROR(IMAGE("https://commons.wikimedia.org/wiki/Special:FilePath/French_Military_Medal.svg?width=110"),IMAGE("https://commons.wikimedia.org/wiki/Special:FilePath/French_Military_Medal.png?width=110")))),"")</f>
        <v/>
      </c>
      <c r="F4" s="11" t="inlineStr">
        <is>
          <t>https://commons.wikimedia.org/wiki/Special:FilePath/French_Military_Medal_ribbon.svg?width=110</t>
        </is>
      </c>
      <c r="G4" s="4" t="inlineStr"/>
      <c r="H4" s="4" t="inlineStr"/>
      <c r="I4" s="2" t="inlineStr">
        <is>
          <t>https://en.wikipedia.org/wiki/Awards_and_decorations_of_the_United_States_Armed_Forces</t>
        </is>
      </c>
    </row>
    <row r="5" ht="44" customHeight="1">
      <c r="A5" s="6" t="inlineStr">
        <is>
          <t>Foreign and international awards</t>
        </is>
      </c>
      <c r="B5" s="6" t="inlineStr">
        <is>
          <t>World War I</t>
        </is>
      </c>
      <c r="C5" s="9" t="n">
        <v>4</v>
      </c>
      <c r="D5" s="12" t="inlineStr">
        <is>
          <t>French Croix de guerre</t>
        </is>
      </c>
      <c r="E5" s="7">
        <f>IFERROR(IFERROR(IMAGE("https://commons.wikimedia.org/wiki/Special:FilePath/French_Croix_de_guerre_ribbon.svg?width=110"),IFERROR(IMAGE("https://commons.wikimedia.org/wiki/Special:FilePath/French_Croix_de_guerre_ribbon.png?width=110"),IFERROR(IMAGE("https://commons.wikimedia.org/wiki/Special:FilePath/French_Croix_de_guerre.svg?width=110"),IMAGE("https://commons.wikimedia.org/wiki/Special:FilePath/French_Croix_de_guerre.png?width=110")))),"")</f>
        <v/>
      </c>
      <c r="F5" s="11" t="inlineStr">
        <is>
          <t>https://commons.wikimedia.org/wiki/Special:FilePath/French_Croix_de_guerre_ribbon.svg?width=110</t>
        </is>
      </c>
      <c r="G5" s="6" t="inlineStr"/>
      <c r="H5" s="6" t="inlineStr"/>
      <c r="I5" s="2" t="inlineStr">
        <is>
          <t>https://en.wikipedia.org/wiki/Awards_and_decorations_of_the_United_States_Armed_Forces</t>
        </is>
      </c>
    </row>
    <row r="6" ht="44" customHeight="1">
      <c r="A6" s="4" t="inlineStr">
        <is>
          <t>Foreign and international awards</t>
        </is>
      </c>
      <c r="B6" s="4" t="inlineStr">
        <is>
          <t>World War I</t>
        </is>
      </c>
      <c r="C6" s="9" t="n">
        <v>5</v>
      </c>
      <c r="D6" s="10" t="inlineStr">
        <is>
          <t>Belgian Croix de guerre</t>
        </is>
      </c>
      <c r="E6" s="5">
        <f>IFERROR(IFERROR(IMAGE("https://commons.wikimedia.org/wiki/Special:FilePath/Belgian_Croix_de_guerre_ribbon.svg?width=110"),IFERROR(IMAGE("https://commons.wikimedia.org/wiki/Special:FilePath/Belgian_Croix_de_guerre_ribbon.png?width=110"),IFERROR(IMAGE("https://commons.wikimedia.org/wiki/Special:FilePath/Belgian_Croix_de_guerre.svg?width=110"),IMAGE("https://commons.wikimedia.org/wiki/Special:FilePath/Belgian_Croix_de_guerre.png?width=110")))),"")</f>
        <v/>
      </c>
      <c r="F6" s="11" t="inlineStr">
        <is>
          <t>https://commons.wikimedia.org/wiki/Special:FilePath/Belgian_Croix_de_guerre_ribbon.svg?width=110</t>
        </is>
      </c>
      <c r="G6" s="4" t="inlineStr"/>
      <c r="H6" s="4" t="inlineStr"/>
      <c r="I6" s="2" t="inlineStr">
        <is>
          <t>https://en.wikipedia.org/wiki/Awards_and_decorations_of_the_United_States_Armed_Forces</t>
        </is>
      </c>
    </row>
    <row r="7" ht="44" customHeight="1">
      <c r="A7" s="6" t="inlineStr">
        <is>
          <t>Foreign and international awards</t>
        </is>
      </c>
      <c r="B7" s="6" t="inlineStr">
        <is>
          <t>World War I</t>
        </is>
      </c>
      <c r="C7" s="9" t="n">
        <v>6</v>
      </c>
      <c r="D7" s="12" t="inlineStr">
        <is>
          <t>Czechoslovak War Cross (1918)</t>
        </is>
      </c>
      <c r="E7" s="7">
        <f>IFERROR(IFERROR(IMAGE("https://commons.wikimedia.org/wiki/Special:FilePath/Czechoslovak_War_Cross_1918_ribbon.svg?width=110"),IFERROR(IMAGE("https://commons.wikimedia.org/wiki/Special:FilePath/Czechoslovak_War_Cross_1918_ribbon.png?width=110"),IFERROR(IMAGE("https://commons.wikimedia.org/wiki/Special:FilePath/Czechoslovak_War_Cross_1918.svg?width=110"),IMAGE("https://commons.wikimedia.org/wiki/Special:FilePath/Czechoslovak_War_Cross_1918.png?width=110")))),"")</f>
        <v/>
      </c>
      <c r="F7" s="11" t="inlineStr">
        <is>
          <t>https://commons.wikimedia.org/wiki/Special:FilePath/Czechoslovak_War_Cross_1918_ribbon.svg?width=110</t>
        </is>
      </c>
      <c r="G7" s="6" t="inlineStr"/>
      <c r="H7" s="6" t="inlineStr"/>
      <c r="I7" s="2" t="inlineStr">
        <is>
          <t>https://en.wikipedia.org/wiki/Awards_and_decorations_of_the_United_States_Armed_Forces</t>
        </is>
      </c>
    </row>
    <row r="8" ht="44" customHeight="1">
      <c r="A8" s="4" t="inlineStr">
        <is>
          <t>Foreign and international awards</t>
        </is>
      </c>
      <c r="B8" s="4" t="inlineStr">
        <is>
          <t>Caribbean and Central America (1920s and 1930s)</t>
        </is>
      </c>
      <c r="C8" s="9" t="n">
        <v>7</v>
      </c>
      <c r="D8" s="10" t="inlineStr">
        <is>
          <t>Order of Abdon Calderón</t>
        </is>
      </c>
      <c r="E8" s="5">
        <f>IFERROR(IFERROR(IMAGE("https://commons.wikimedia.org/wiki/Special:FilePath/Order_of_Abdon_Caldern_ribbon.svg?width=110"),IFERROR(IMAGE("https://commons.wikimedia.org/wiki/Special:FilePath/Order_of_Abdon_Caldern_ribbon.png?width=110"),IFERROR(IMAGE("https://commons.wikimedia.org/wiki/Special:FilePath/Order_of_Abdon_Caldern.svg?width=110"),IMAGE("https://commons.wikimedia.org/wiki/Special:FilePath/Order_of_Abdon_Caldern.png?width=110")))),"")</f>
        <v/>
      </c>
      <c r="F8" s="11" t="inlineStr">
        <is>
          <t>https://commons.wikimedia.org/wiki/Special:FilePath/Order_of_Abdon_Caldern_ribbon.svg?width=110</t>
        </is>
      </c>
      <c r="G8" s="4" t="inlineStr"/>
      <c r="H8" s="4" t="inlineStr"/>
      <c r="I8" s="2" t="inlineStr">
        <is>
          <t>https://en.wikipedia.org/wiki/Awards_and_decorations_of_the_United_States_Armed_Forces</t>
        </is>
      </c>
    </row>
    <row r="9" ht="44" customHeight="1">
      <c r="A9" s="6" t="inlineStr">
        <is>
          <t>Foreign and international awards</t>
        </is>
      </c>
      <c r="B9" s="6" t="inlineStr">
        <is>
          <t>Caribbean and Central America (1920s and 1930s)</t>
        </is>
      </c>
      <c r="C9" s="9" t="n">
        <v>8</v>
      </c>
      <c r="D9" s="12" t="inlineStr">
        <is>
          <t>Military Merit Medal</t>
        </is>
      </c>
      <c r="E9" s="7">
        <f>IFERROR(IFERROR(IMAGE("https://commons.wikimedia.org/wiki/Special:FilePath/Military_Merit_Medal_ribbon.svg?width=110"),IFERROR(IMAGE("https://commons.wikimedia.org/wiki/Special:FilePath/Military_Merit_Medal_ribbon.png?width=110"),IFERROR(IMAGE("https://commons.wikimedia.org/wiki/Special:FilePath/Military_Merit_Medal.svg?width=110"),IMAGE("https://commons.wikimedia.org/wiki/Special:FilePath/Military_Merit_Medal.png?width=110")))),"")</f>
        <v/>
      </c>
      <c r="F9" s="11" t="inlineStr">
        <is>
          <t>https://commons.wikimedia.org/wiki/Special:FilePath/Military_Merit_Medal_ribbon.svg?width=110</t>
        </is>
      </c>
      <c r="G9" s="6" t="inlineStr"/>
      <c r="H9" s="6" t="inlineStr"/>
      <c r="I9" s="2" t="inlineStr">
        <is>
          <t>https://en.wikipedia.org/wiki/Awards_and_decorations_of_the_United_States_Armed_Forces</t>
        </is>
      </c>
    </row>
    <row r="10" ht="44" customHeight="1">
      <c r="A10" s="4" t="inlineStr">
        <is>
          <t>Foreign and international awards</t>
        </is>
      </c>
      <c r="B10" s="4" t="inlineStr">
        <is>
          <t>Caribbean and Central America (1920s and 1930s)</t>
        </is>
      </c>
      <c r="C10" s="9" t="n">
        <v>9</v>
      </c>
      <c r="D10" s="10" t="inlineStr">
        <is>
          <t>Medal of Merit</t>
        </is>
      </c>
      <c r="E10" s="5">
        <f>IFERROR(IFERROR(IMAGE("https://commons.wikimedia.org/wiki/Special:FilePath/Medal_of_Merit_ribbon.svg?width=110"),IFERROR(IMAGE("https://commons.wikimedia.org/wiki/Special:FilePath/Medal_of_Merit_ribbon.png?width=110"),IFERROR(IMAGE("https://commons.wikimedia.org/wiki/Special:FilePath/Medal_of_Merit.svg?width=110"),IFERROR(IMAGE("https://commons.wikimedia.org/wiki/Special:FilePath/Medal_of_Merit.png?width=110"),IFERROR(IMAGE("https://commons.wikimedia.org/wiki/Special:FilePath/Medal_of_Merit_Medal_ribbon.svg?width=110"),IMAGE("https://commons.wikimedia.org/wiki/Special:FilePath/Medal_of_Merit_Medal_ribbon.png?width=110")))))),"")</f>
        <v/>
      </c>
      <c r="F10" s="11" t="inlineStr">
        <is>
          <t>https://commons.wikimedia.org/wiki/Special:FilePath/Medal_of_Merit_ribbon.svg?width=110</t>
        </is>
      </c>
      <c r="G10" s="4" t="inlineStr"/>
      <c r="H10" s="4" t="inlineStr"/>
      <c r="I10" s="2" t="inlineStr">
        <is>
          <t>https://en.wikipedia.org/wiki/Awards_and_decorations_of_the_United_States_Armed_Forces</t>
        </is>
      </c>
    </row>
    <row r="11" ht="44" customHeight="1">
      <c r="A11" s="6" t="inlineStr">
        <is>
          <t>Foreign and international awards</t>
        </is>
      </c>
      <c r="B11" s="6" t="inlineStr">
        <is>
          <t>World War II (Europe)</t>
        </is>
      </c>
      <c r="C11" s="9" t="n">
        <v>10</v>
      </c>
      <c r="D11" s="12" t="inlineStr">
        <is>
          <t>French Croix de guerre</t>
        </is>
      </c>
      <c r="E11" s="7">
        <f>IFERROR(IFERROR(IMAGE("https://commons.wikimedia.org/wiki/Special:FilePath/French_Croix_de_guerre_ribbon.svg?width=110"),IFERROR(IMAGE("https://commons.wikimedia.org/wiki/Special:FilePath/French_Croix_de_guerre_ribbon.png?width=110"),IFERROR(IMAGE("https://commons.wikimedia.org/wiki/Special:FilePath/French_Croix_de_guerre.svg?width=110"),IMAGE("https://commons.wikimedia.org/wiki/Special:FilePath/French_Croix_de_guerre.png?width=110")))),"")</f>
        <v/>
      </c>
      <c r="F11" s="11" t="inlineStr">
        <is>
          <t>https://commons.wikimedia.org/wiki/Special:FilePath/French_Croix_de_guerre_ribbon.svg?width=110</t>
        </is>
      </c>
      <c r="G11" s="6" t="inlineStr"/>
      <c r="H11" s="6" t="inlineStr"/>
      <c r="I11" s="2" t="inlineStr">
        <is>
          <t>https://en.wikipedia.org/wiki/Awards_and_decorations_of_the_United_States_Armed_Forces</t>
        </is>
      </c>
    </row>
    <row r="12" ht="44" customHeight="1">
      <c r="A12" s="4" t="inlineStr">
        <is>
          <t>Foreign and international awards</t>
        </is>
      </c>
      <c r="B12" s="4" t="inlineStr">
        <is>
          <t>World War II (Europe)</t>
        </is>
      </c>
      <c r="C12" s="9" t="n">
        <v>11</v>
      </c>
      <c r="D12" s="10" t="inlineStr">
        <is>
          <t>Belgian Croix de guerre</t>
        </is>
      </c>
      <c r="E12" s="5">
        <f>IFERROR(IFERROR(IMAGE("https://commons.wikimedia.org/wiki/Special:FilePath/Belgian_Croix_de_guerre_ribbon.svg?width=110"),IFERROR(IMAGE("https://commons.wikimedia.org/wiki/Special:FilePath/Belgian_Croix_de_guerre_ribbon.png?width=110"),IFERROR(IMAGE("https://commons.wikimedia.org/wiki/Special:FilePath/Belgian_Croix_de_guerre.svg?width=110"),IMAGE("https://commons.wikimedia.org/wiki/Special:FilePath/Belgian_Croix_de_guerre.png?width=110")))),"")</f>
        <v/>
      </c>
      <c r="F12" s="11" t="inlineStr">
        <is>
          <t>https://commons.wikimedia.org/wiki/Special:FilePath/Belgian_Croix_de_guerre_ribbon.svg?width=110</t>
        </is>
      </c>
      <c r="G12" s="4" t="inlineStr"/>
      <c r="H12" s="4" t="inlineStr"/>
      <c r="I12" s="2" t="inlineStr">
        <is>
          <t>https://en.wikipedia.org/wiki/Awards_and_decorations_of_the_United_States_Armed_Forces</t>
        </is>
      </c>
    </row>
    <row r="13" ht="44" customHeight="1">
      <c r="A13" s="6" t="inlineStr">
        <is>
          <t>Foreign and international awards</t>
        </is>
      </c>
      <c r="B13" s="6" t="inlineStr">
        <is>
          <t>World War II (Europe)</t>
        </is>
      </c>
      <c r="C13" s="9" t="n">
        <v>12</v>
      </c>
      <c r="D13" s="12" t="inlineStr">
        <is>
          <t>Luxembourg War Cross</t>
        </is>
      </c>
      <c r="E13" s="7">
        <f>IFERROR(IFERROR(IMAGE("https://commons.wikimedia.org/wiki/Special:FilePath/Luxembourg_War_Cross_ribbon.svg?width=110"),IFERROR(IMAGE("https://commons.wikimedia.org/wiki/Special:FilePath/Luxembourg_War_Cross_ribbon.png?width=110"),IFERROR(IMAGE("https://commons.wikimedia.org/wiki/Special:FilePath/Luxembourg_War_Cross.svg?width=110"),IMAGE("https://commons.wikimedia.org/wiki/Special:FilePath/Luxembourg_War_Cross.png?width=110")))),"")</f>
        <v/>
      </c>
      <c r="F13" s="11" t="inlineStr">
        <is>
          <t>https://commons.wikimedia.org/wiki/Special:FilePath/Luxembourg_War_Cross_ribbon.svg?width=110</t>
        </is>
      </c>
      <c r="G13" s="6" t="inlineStr"/>
      <c r="H13" s="6" t="inlineStr"/>
      <c r="I13" s="2" t="inlineStr">
        <is>
          <t>https://en.wikipedia.org/wiki/Awards_and_decorations_of_the_United_States_Armed_Forces</t>
        </is>
      </c>
    </row>
    <row r="14" ht="44" customHeight="1">
      <c r="A14" s="4" t="inlineStr">
        <is>
          <t>Foreign and international awards</t>
        </is>
      </c>
      <c r="B14" s="4" t="inlineStr">
        <is>
          <t>World War II (Europe)</t>
        </is>
      </c>
      <c r="C14" s="9" t="n">
        <v>13</v>
      </c>
      <c r="D14" s="10" t="inlineStr">
        <is>
          <t>Czechoslovak War Cross (1945)</t>
        </is>
      </c>
      <c r="E14" s="5">
        <f>IFERROR(IFERROR(IMAGE("https://commons.wikimedia.org/wiki/Special:FilePath/Czechoslovak_War_Cross_1945_ribbon.svg?width=110"),IFERROR(IMAGE("https://commons.wikimedia.org/wiki/Special:FilePath/Czechoslovak_War_Cross_1945_ribbon.png?width=110"),IFERROR(IMAGE("https://commons.wikimedia.org/wiki/Special:FilePath/Czechoslovak_War_Cross_1945.svg?width=110"),IMAGE("https://commons.wikimedia.org/wiki/Special:FilePath/Czechoslovak_War_Cross_1945.png?width=110")))),"")</f>
        <v/>
      </c>
      <c r="F14" s="11" t="inlineStr">
        <is>
          <t>https://commons.wikimedia.org/wiki/Special:FilePath/Czechoslovak_War_Cross_1945_ribbon.svg?width=110</t>
        </is>
      </c>
      <c r="G14" s="4" t="inlineStr"/>
      <c r="H14" s="4" t="inlineStr"/>
      <c r="I14" s="2" t="inlineStr">
        <is>
          <t>https://en.wikipedia.org/wiki/Awards_and_decorations_of_the_United_States_Armed_Forces</t>
        </is>
      </c>
    </row>
    <row r="15" ht="44" customHeight="1">
      <c r="A15" s="6" t="inlineStr">
        <is>
          <t>Foreign and international awards</t>
        </is>
      </c>
      <c r="B15" s="6" t="inlineStr">
        <is>
          <t>World War II (Europe)</t>
        </is>
      </c>
      <c r="C15" s="9" t="n">
        <v>14</v>
      </c>
      <c r="D15" s="12" t="inlineStr">
        <is>
          <t>Luxembourg War Cross (Unit Citation)</t>
        </is>
      </c>
      <c r="E15" s="7">
        <f>IFERROR(IFERROR(IMAGE("https://commons.wikimedia.org/wiki/Special:FilePath/Luxembourg_War_Cross_Unit_Citation_ribbon.svg?width=110"),IFERROR(IMAGE("https://commons.wikimedia.org/wiki/Special:FilePath/Luxembourg_War_Cross_Unit_Citation_ribbon.png?width=110"),IFERROR(IMAGE("https://commons.wikimedia.org/wiki/Special:FilePath/Luxembourg_War_Cross_Unit_Citation.svg?width=110"),IMAGE("https://commons.wikimedia.org/wiki/Special:FilePath/Luxembourg_War_Cross_Unit_Citation.png?width=110")))),"")</f>
        <v/>
      </c>
      <c r="F15" s="11" t="inlineStr">
        <is>
          <t>https://commons.wikimedia.org/wiki/Special:FilePath/Luxembourg_War_Cross_Unit_Citation_ribbon.svg?width=110</t>
        </is>
      </c>
      <c r="G15" s="6" t="inlineStr"/>
      <c r="H15" s="6" t="inlineStr"/>
      <c r="I15" s="2" t="inlineStr">
        <is>
          <t>https://en.wikipedia.org/wiki/Awards_and_decorations_of_the_United_States_Armed_Forces</t>
        </is>
      </c>
    </row>
    <row r="16" ht="44" customHeight="1">
      <c r="A16" s="4" t="inlineStr">
        <is>
          <t>Foreign and international awards</t>
        </is>
      </c>
      <c r="B16" s="4" t="inlineStr">
        <is>
          <t>World War II (Pacific)</t>
        </is>
      </c>
      <c r="C16" s="9" t="n">
        <v>15</v>
      </c>
      <c r="D16" s="10" t="inlineStr">
        <is>
          <t>Philippine Defense Medal</t>
        </is>
      </c>
      <c r="E16" s="5">
        <f>IFERROR(IFERROR(IMAGE("https://commons.wikimedia.org/wiki/Special:FilePath/Philippine_Defense_Medal_ribbon.svg?width=110"),IFERROR(IMAGE("https://commons.wikimedia.org/wiki/Special:FilePath/Philippine_Defense_Medal_ribbon.png?width=110"),IFERROR(IMAGE("https://commons.wikimedia.org/wiki/Special:FilePath/Philippine_Defense_Medal.svg?width=110"),IMAGE("https://commons.wikimedia.org/wiki/Special:FilePath/Philippine_Defense_Medal.png?width=110")))),"")</f>
        <v/>
      </c>
      <c r="F16" s="11" t="inlineStr">
        <is>
          <t>https://commons.wikimedia.org/wiki/Special:FilePath/Philippine_Defense_Medal_ribbon.svg?width=110</t>
        </is>
      </c>
      <c r="G16" s="4" t="inlineStr"/>
      <c r="H16" s="4" t="inlineStr"/>
      <c r="I16" s="2" t="inlineStr">
        <is>
          <t>https://en.wikipedia.org/wiki/Awards_and_decorations_of_the_United_States_Armed_Forces</t>
        </is>
      </c>
    </row>
    <row r="17" ht="44" customHeight="1">
      <c r="A17" s="6" t="inlineStr">
        <is>
          <t>Foreign and international awards</t>
        </is>
      </c>
      <c r="B17" s="6" t="inlineStr">
        <is>
          <t>World War II (Pacific)</t>
        </is>
      </c>
      <c r="C17" s="9" t="n">
        <v>16</v>
      </c>
      <c r="D17" s="12" t="inlineStr">
        <is>
          <t>Philippine Liberation Medal</t>
        </is>
      </c>
      <c r="E17" s="7">
        <f>IFERROR(IFERROR(IMAGE("https://commons.wikimedia.org/wiki/Special:FilePath/Philippine_Liberation_Medal_ribbon.svg?width=110"),IFERROR(IMAGE("https://commons.wikimedia.org/wiki/Special:FilePath/Philippine_Liberation_Medal_ribbon.png?width=110"),IFERROR(IMAGE("https://commons.wikimedia.org/wiki/Special:FilePath/Philippine_Liberation_Medal.svg?width=110"),IMAGE("https://commons.wikimedia.org/wiki/Special:FilePath/Philippine_Liberation_Medal.png?width=110")))),"")</f>
        <v/>
      </c>
      <c r="F17" s="11" t="inlineStr">
        <is>
          <t>https://commons.wikimedia.org/wiki/Special:FilePath/Philippine_Liberation_Medal_ribbon.svg?width=110</t>
        </is>
      </c>
      <c r="G17" s="6" t="inlineStr"/>
      <c r="H17" s="6" t="inlineStr"/>
      <c r="I17" s="2" t="inlineStr">
        <is>
          <t>https://en.wikipedia.org/wiki/Awards_and_decorations_of_the_United_States_Armed_Forces</t>
        </is>
      </c>
    </row>
    <row r="18" ht="44" customHeight="1">
      <c r="A18" s="4" t="inlineStr">
        <is>
          <t>Foreign and international awards</t>
        </is>
      </c>
      <c r="B18" s="4" t="inlineStr">
        <is>
          <t>World War II (Pacific)</t>
        </is>
      </c>
      <c r="C18" s="9" t="n">
        <v>17</v>
      </c>
      <c r="D18" s="10" t="inlineStr">
        <is>
          <t>Philippine Independence Medal</t>
        </is>
      </c>
      <c r="E18" s="5">
        <f>IFERROR(IFERROR(IMAGE("https://commons.wikimedia.org/wiki/Special:FilePath/Philippine_Independence_Medal_ribbon.svg?width=110"),IFERROR(IMAGE("https://commons.wikimedia.org/wiki/Special:FilePath/Philippine_Independence_Medal_ribbon.png?width=110"),IFERROR(IMAGE("https://commons.wikimedia.org/wiki/Special:FilePath/Philippine_Independence_Medal.svg?width=110"),IMAGE("https://commons.wikimedia.org/wiki/Special:FilePath/Philippine_Independence_Medal.png?width=110")))),"")</f>
        <v/>
      </c>
      <c r="F18" s="11" t="inlineStr">
        <is>
          <t>https://commons.wikimedia.org/wiki/Special:FilePath/Philippine_Independence_Medal_ribbon.svg?width=110</t>
        </is>
      </c>
      <c r="G18" s="4" t="inlineStr"/>
      <c r="H18" s="4" t="inlineStr"/>
      <c r="I18" s="2" t="inlineStr">
        <is>
          <t>https://en.wikipedia.org/wiki/Awards_and_decorations_of_the_United_States_Armed_Forces</t>
        </is>
      </c>
    </row>
    <row r="19" ht="44" customHeight="1">
      <c r="A19" s="6" t="inlineStr">
        <is>
          <t>Foreign and international awards</t>
        </is>
      </c>
      <c r="B19" s="6" t="inlineStr">
        <is>
          <t>World War II (Pacific)</t>
        </is>
      </c>
      <c r="C19" s="9" t="n">
        <v>18</v>
      </c>
      <c r="D19" s="12" t="inlineStr">
        <is>
          <t>Philippine Presidential Unit Citation</t>
        </is>
      </c>
      <c r="E19" s="7">
        <f>IFERROR(IFERROR(IMAGE("https://commons.wikimedia.org/wiki/Special:FilePath/Philippine_Presidential_Unit_Citation_ribbon.svg?width=110"),IFERROR(IMAGE("https://commons.wikimedia.org/wiki/Special:FilePath/Philippine_Presidential_Unit_Citation_ribbon.png?width=110"),IFERROR(IMAGE("https://commons.wikimedia.org/wiki/Special:FilePath/Philippine_Presidential_Unit_Citation.svg?width=110"),IMAGE("https://commons.wikimedia.org/wiki/Special:FilePath/Philippine_Presidential_Unit_Citation.png?width=110")))),"")</f>
        <v/>
      </c>
      <c r="F19" s="11" t="inlineStr">
        <is>
          <t>https://commons.wikimedia.org/wiki/Special:FilePath/Philippine_Presidential_Unit_Citation_ribbon.svg?width=110</t>
        </is>
      </c>
      <c r="G19" s="6" t="inlineStr"/>
      <c r="H19" s="6" t="inlineStr"/>
      <c r="I19" s="2" t="inlineStr">
        <is>
          <t>https://en.wikipedia.org/wiki/Awards_and_decorations_of_the_United_States_Armed_Forces</t>
        </is>
      </c>
    </row>
    <row r="20" ht="44" customHeight="1">
      <c r="A20" s="4" t="inlineStr">
        <is>
          <t>Foreign and international awards</t>
        </is>
      </c>
      <c r="B20" s="4" t="inlineStr">
        <is>
          <t>World War II (Senior Orders)</t>
        </is>
      </c>
      <c r="C20" s="9" t="n">
        <v>19</v>
      </c>
      <c r="D20" s="10" t="inlineStr">
        <is>
          <t>Order of Adolphe of Nassau</t>
        </is>
      </c>
      <c r="E20" s="5">
        <f>IFERROR(IFERROR(IMAGE("https://commons.wikimedia.org/wiki/Special:FilePath/Luxembourg_Order_of_Adolphe_of_Nassau_ribbon.svg?width=110"),IFERROR(IMAGE("https://commons.wikimedia.org/wiki/Special:FilePath/Luxembourg_Order_of_Adolphe_of_Nassau_ribbon.png?width=110"),IFERROR(IMAGE("https://commons.wikimedia.org/wiki/Special:FilePath/Order_of_Adolphe_of_Nassau_Luxembourg_ribbon.svg?width=110"),IFERROR(IMAGE("https://commons.wikimedia.org/wiki/Special:FilePath/Order_of_Adolphe_of_Nassau_Luxembourg_ribbon.png?width=110"),IFERROR(IMAGE("https://commons.wikimedia.org/wiki/Special:FilePath/Order_of_Adolphe_of_Nassau_Luxembourg.svg?width=110"),IFERROR(IMAGE("https://commons.wikimedia.org/wiki/Special:FilePath/Order_of_Adolphe_of_Nassau_Luxembourg.png?width=110"),IFERROR(IMAGE("https://commons.wikimedia.org/wiki/Special:FilePath/Order_of_Adolphe_of_Nassau_ribbon.svg?width=110"),IMAGE("https://commons.wikimedia.org/wiki/Special:FilePath/Order_of_Adolphe_of_Nassau_ribbon.png?width=110")))))))),"")</f>
        <v/>
      </c>
      <c r="F20" s="11" t="inlineStr">
        <is>
          <t>https://commons.wikimedia.org/wiki/Special:FilePath/Luxembourg_Order_of_Adolphe_of_Nassau_ribbon.svg?width=110</t>
        </is>
      </c>
      <c r="G20" s="4" t="inlineStr">
        <is>
          <t>Luxembourg</t>
        </is>
      </c>
      <c r="H20" s="4" t="inlineStr"/>
      <c r="I20" s="2" t="inlineStr">
        <is>
          <t>https://en.wikipedia.org/wiki/Awards_and_decorations_of_the_United_States_Armed_Forces</t>
        </is>
      </c>
    </row>
    <row r="21" ht="44" customHeight="1">
      <c r="A21" s="6" t="inlineStr">
        <is>
          <t>Foreign and international awards</t>
        </is>
      </c>
      <c r="B21" s="6" t="inlineStr">
        <is>
          <t>World War II (Senior Orders)</t>
        </is>
      </c>
      <c r="C21" s="9" t="n">
        <v>20</v>
      </c>
      <c r="D21" s="12" t="inlineStr">
        <is>
          <t>Order of the Aztec Eagle</t>
        </is>
      </c>
      <c r="E21" s="7">
        <f>IFERROR(IFERROR(IMAGE("https://commons.wikimedia.org/wiki/Special:FilePath/Mexico_Order_of_the_Aztec_Eagle_ribbon.svg?width=110"),IFERROR(IMAGE("https://commons.wikimedia.org/wiki/Special:FilePath/Mexico_Order_of_the_Aztec_Eagle_ribbon.png?width=110"),IFERROR(IMAGE("https://commons.wikimedia.org/wiki/Special:FilePath/Order_of_the_Aztec_Eagle_Mexico_ribbon.svg?width=110"),IFERROR(IMAGE("https://commons.wikimedia.org/wiki/Special:FilePath/Order_of_the_Aztec_Eagle_Mexico_ribbon.png?width=110"),IFERROR(IMAGE("https://commons.wikimedia.org/wiki/Special:FilePath/Order_of_the_Aztec_Eagle_Mexico.svg?width=110"),IFERROR(IMAGE("https://commons.wikimedia.org/wiki/Special:FilePath/Order_of_the_Aztec_Eagle_Mexico.png?width=110"),IFERROR(IMAGE("https://commons.wikimedia.org/wiki/Special:FilePath/Order_of_the_Aztec_Eagle_ribbon.svg?width=110"),IMAGE("https://commons.wikimedia.org/wiki/Special:FilePath/Order_of_the_Aztec_Eagle_ribbon.png?width=110")))))))),"")</f>
        <v/>
      </c>
      <c r="F21" s="11" t="inlineStr">
        <is>
          <t>https://commons.wikimedia.org/wiki/Special:FilePath/Mexico_Order_of_the_Aztec_Eagle_ribbon.svg?width=110</t>
        </is>
      </c>
      <c r="G21" s="6" t="inlineStr">
        <is>
          <t>Mexico</t>
        </is>
      </c>
      <c r="H21" s="6" t="inlineStr"/>
      <c r="I21" s="2" t="inlineStr">
        <is>
          <t>https://en.wikipedia.org/wiki/Awards_and_decorations_of_the_United_States_Armed_Forces</t>
        </is>
      </c>
    </row>
    <row r="22" ht="44" customHeight="1">
      <c r="A22" s="4" t="inlineStr">
        <is>
          <t>Foreign and international awards</t>
        </is>
      </c>
      <c r="B22" s="4" t="inlineStr">
        <is>
          <t>World War II (Senior Orders)</t>
        </is>
      </c>
      <c r="C22" s="9" t="n">
        <v>21</v>
      </c>
      <c r="D22" s="10" t="inlineStr">
        <is>
          <t>Order of the British Empire</t>
        </is>
      </c>
      <c r="E22" s="5">
        <f>IFERROR(IFERROR(IMAGE("https://commons.wikimedia.org/wiki/Special:FilePath/United_Kingdom_Order_of_the_British_Empire_ribbon.svg?width=110"),IFERROR(IMAGE("https://commons.wikimedia.org/wiki/Special:FilePath/United_Kingdom_Order_of_the_British_Empire_ribbon.png?width=110"),IFERROR(IMAGE("https://commons.wikimedia.org/wiki/Special:FilePath/Order_of_the_British_Empire_United_Kingdom_ribbon.svg?width=110"),IFERROR(IMAGE("https://commons.wikimedia.org/wiki/Special:FilePath/Order_of_the_British_Empire_United_Kingdom_ribbon.png?width=110"),IFERROR(IMAGE("https://commons.wikimedia.org/wiki/Special:FilePath/Order_of_the_British_Empire_United_Kingdom.svg?width=110"),IFERROR(IMAGE("https://commons.wikimedia.org/wiki/Special:FilePath/Order_of_the_British_Empire_United_Kingdom.png?width=110"),IFERROR(IMAGE("https://commons.wikimedia.org/wiki/Special:FilePath/Order_of_the_British_Empire_ribbon.svg?width=110"),IMAGE("https://commons.wikimedia.org/wiki/Special:FilePath/Order_of_the_British_Empire_ribbon.png?width=110")))))))),"")</f>
        <v/>
      </c>
      <c r="F22" s="11" t="inlineStr">
        <is>
          <t>https://commons.wikimedia.org/wiki/Special:FilePath/United_Kingdom_Order_of_the_British_Empire_ribbon.svg?width=110</t>
        </is>
      </c>
      <c r="G22" s="4" t="inlineStr">
        <is>
          <t>United Kingdom</t>
        </is>
      </c>
      <c r="H22" s="4" t="inlineStr"/>
      <c r="I22" s="2" t="inlineStr">
        <is>
          <t>https://en.wikipedia.org/wiki/Awards_and_decorations_of_the_United_States_Armed_Forces</t>
        </is>
      </c>
    </row>
    <row r="23" ht="44" customHeight="1">
      <c r="A23" s="6" t="inlineStr">
        <is>
          <t>Foreign and international awards</t>
        </is>
      </c>
      <c r="B23" s="6" t="inlineStr">
        <is>
          <t>World War II (Senior Orders)</t>
        </is>
      </c>
      <c r="C23" s="9" t="n">
        <v>22</v>
      </c>
      <c r="D23" s="12" t="inlineStr">
        <is>
          <t>Order of the Crown</t>
        </is>
      </c>
      <c r="E23" s="7">
        <f>IFERROR(IFERROR(IMAGE("https://commons.wikimedia.org/wiki/Special:FilePath/Belgium_Order_of_the_Crown_ribbon.svg?width=110"),IFERROR(IMAGE("https://commons.wikimedia.org/wiki/Special:FilePath/Belgium_Order_of_the_Crown_ribbon.png?width=110"),IFERROR(IMAGE("https://commons.wikimedia.org/wiki/Special:FilePath/Order_of_the_Crown_Belgium_ribbon.svg?width=110"),IFERROR(IMAGE("https://commons.wikimedia.org/wiki/Special:FilePath/Order_of_the_Crown_Belgium_ribbon.png?width=110"),IFERROR(IMAGE("https://commons.wikimedia.org/wiki/Special:FilePath/Order_of_the_Crown_Belgium.svg?width=110"),IFERROR(IMAGE("https://commons.wikimedia.org/wiki/Special:FilePath/Order_of_the_Crown_Belgium.png?width=110"),IFERROR(IMAGE("https://commons.wikimedia.org/wiki/Special:FilePath/Order_of_the_Crown_ribbon.svg?width=110"),IMAGE("https://commons.wikimedia.org/wiki/Special:FilePath/Order_of_the_Crown_ribbon.png?width=110")))))))),"")</f>
        <v/>
      </c>
      <c r="F23" s="11" t="inlineStr">
        <is>
          <t>https://commons.wikimedia.org/wiki/Special:FilePath/Belgium_Order_of_the_Crown_ribbon.svg?width=110</t>
        </is>
      </c>
      <c r="G23" s="6" t="inlineStr">
        <is>
          <t>Belgium</t>
        </is>
      </c>
      <c r="H23" s="6" t="inlineStr"/>
      <c r="I23" s="2" t="inlineStr">
        <is>
          <t>https://en.wikipedia.org/wiki/Awards_and_decorations_of_the_United_States_Armed_Forces</t>
        </is>
      </c>
    </row>
    <row r="24" ht="44" customHeight="1">
      <c r="A24" s="4" t="inlineStr">
        <is>
          <t>Foreign and international awards</t>
        </is>
      </c>
      <c r="B24" s="4" t="inlineStr">
        <is>
          <t>World War II (Senior Orders)</t>
        </is>
      </c>
      <c r="C24" s="9" t="n">
        <v>23</v>
      </c>
      <c r="D24" s="10" t="inlineStr">
        <is>
          <t>Order of Leopold</t>
        </is>
      </c>
      <c r="E24" s="5">
        <f>IFERROR(IFERROR(IMAGE("https://commons.wikimedia.org/wiki/Special:FilePath/Belgium_Order_of_Leopold_ribbon.svg?width=110"),IFERROR(IMAGE("https://commons.wikimedia.org/wiki/Special:FilePath/Belgium_Order_of_Leopold_ribbon.png?width=110"),IFERROR(IMAGE("https://commons.wikimedia.org/wiki/Special:FilePath/Order_of_Leopold_Belgium_ribbon.svg?width=110"),IFERROR(IMAGE("https://commons.wikimedia.org/wiki/Special:FilePath/Order_of_Leopold_Belgium_ribbon.png?width=110"),IFERROR(IMAGE("https://commons.wikimedia.org/wiki/Special:FilePath/Order_of_Leopold_Belgium.svg?width=110"),IFERROR(IMAGE("https://commons.wikimedia.org/wiki/Special:FilePath/Order_of_Leopold_Belgium.png?width=110"),IFERROR(IMAGE("https://commons.wikimedia.org/wiki/Special:FilePath/Order_of_Leopold_ribbon.svg?width=110"),IMAGE("https://commons.wikimedia.org/wiki/Special:FilePath/Order_of_Leopold_ribbon.png?width=110")))))))),"")</f>
        <v/>
      </c>
      <c r="F24" s="11" t="inlineStr">
        <is>
          <t>https://commons.wikimedia.org/wiki/Special:FilePath/Belgium_Order_of_Leopold_ribbon.svg?width=110</t>
        </is>
      </c>
      <c r="G24" s="4" t="inlineStr">
        <is>
          <t>Belgium</t>
        </is>
      </c>
      <c r="H24" s="4" t="inlineStr"/>
      <c r="I24" s="2" t="inlineStr">
        <is>
          <t>https://en.wikipedia.org/wiki/Awards_and_decorations_of_the_United_States_Armed_Forces</t>
        </is>
      </c>
    </row>
    <row r="25" ht="44" customHeight="1">
      <c r="A25" s="6" t="inlineStr">
        <is>
          <t>Foreign and international awards</t>
        </is>
      </c>
      <c r="B25" s="6" t="inlineStr">
        <is>
          <t>World War II (Senior Orders)</t>
        </is>
      </c>
      <c r="C25" s="9" t="n">
        <v>24</v>
      </c>
      <c r="D25" s="12" t="inlineStr">
        <is>
          <t>Order of Orange-Nassau</t>
        </is>
      </c>
      <c r="E25" s="7">
        <f>IFERROR(IFERROR(IMAGE("https://commons.wikimedia.org/wiki/Special:FilePath/Netherlands_Order_of_Orange-Nassau_ribbon.svg?width=110"),IFERROR(IMAGE("https://commons.wikimedia.org/wiki/Special:FilePath/Netherlands_Order_of_Orange-Nassau_ribbon.png?width=110"),IFERROR(IMAGE("https://commons.wikimedia.org/wiki/Special:FilePath/Order_of_Orange-Nassau_Netherlands_ribbon.svg?width=110"),IFERROR(IMAGE("https://commons.wikimedia.org/wiki/Special:FilePath/Order_of_Orange-Nassau_Netherlands_ribbon.png?width=110"),IFERROR(IMAGE("https://commons.wikimedia.org/wiki/Special:FilePath/Order_of_Orange-Nassau_Netherlands.svg?width=110"),IFERROR(IMAGE("https://commons.wikimedia.org/wiki/Special:FilePath/Order_of_Orange-Nassau_Netherlands.png?width=110"),IFERROR(IMAGE("https://commons.wikimedia.org/wiki/Special:FilePath/Order_of_Orange-Nassau_ribbon.svg?width=110"),IMAGE("https://commons.wikimedia.org/wiki/Special:FilePath/Order_of_Orange-Nassau_ribbon.png?width=110")))))))),"")</f>
        <v/>
      </c>
      <c r="F25" s="11" t="inlineStr">
        <is>
          <t>https://commons.wikimedia.org/wiki/Special:FilePath/Netherlands_Order_of_Orange-Nassau_ribbon.svg?width=110</t>
        </is>
      </c>
      <c r="G25" s="6" t="inlineStr">
        <is>
          <t>Netherlands</t>
        </is>
      </c>
      <c r="H25" s="6" t="inlineStr"/>
      <c r="I25" s="2" t="inlineStr">
        <is>
          <t>https://en.wikipedia.org/wiki/Awards_and_decorations_of_the_United_States_Armed_Forces</t>
        </is>
      </c>
    </row>
    <row r="26" ht="44" customHeight="1">
      <c r="A26" s="4" t="inlineStr">
        <is>
          <t>Foreign and international awards</t>
        </is>
      </c>
      <c r="B26" s="4" t="inlineStr">
        <is>
          <t>World War II (Senior Orders)</t>
        </is>
      </c>
      <c r="C26" s="9" t="n">
        <v>25</v>
      </c>
      <c r="D26" s="10" t="inlineStr">
        <is>
          <t>Order of Ouissam Alaouite</t>
        </is>
      </c>
      <c r="E26" s="5">
        <f>IFERROR(IFERROR(IMAGE("https://commons.wikimedia.org/wiki/Special:FilePath/Morocco_Order_of_Ouissam_Alaouite_ribbon.svg?width=110"),IFERROR(IMAGE("https://commons.wikimedia.org/wiki/Special:FilePath/Morocco_Order_of_Ouissam_Alaouite_ribbon.png?width=110"),IFERROR(IMAGE("https://commons.wikimedia.org/wiki/Special:FilePath/Order_of_Ouissam_Alaouite_Morocco_ribbon.svg?width=110"),IFERROR(IMAGE("https://commons.wikimedia.org/wiki/Special:FilePath/Order_of_Ouissam_Alaouite_Morocco_ribbon.png?width=110"),IFERROR(IMAGE("https://commons.wikimedia.org/wiki/Special:FilePath/Order_of_Ouissam_Alaouite_Morocco.svg?width=110"),IFERROR(IMAGE("https://commons.wikimedia.org/wiki/Special:FilePath/Order_of_Ouissam_Alaouite_Morocco.png?width=110"),IFERROR(IMAGE("https://commons.wikimedia.org/wiki/Special:FilePath/Order_of_Ouissam_Alaouite_ribbon.svg?width=110"),IMAGE("https://commons.wikimedia.org/wiki/Special:FilePath/Order_of_Ouissam_Alaouite_ribbon.png?width=110")))))))),"")</f>
        <v/>
      </c>
      <c r="F26" s="11" t="inlineStr">
        <is>
          <t>https://commons.wikimedia.org/wiki/Special:FilePath/Morocco_Order_of_Ouissam_Alaouite_ribbon.svg?width=110</t>
        </is>
      </c>
      <c r="G26" s="4" t="inlineStr">
        <is>
          <t>Morocco</t>
        </is>
      </c>
      <c r="H26" s="4" t="inlineStr"/>
      <c r="I26" s="2" t="inlineStr">
        <is>
          <t>https://en.wikipedia.org/wiki/Awards_and_decorations_of_the_United_States_Armed_Forces</t>
        </is>
      </c>
    </row>
    <row r="27" ht="44" customHeight="1">
      <c r="A27" s="6" t="inlineStr">
        <is>
          <t>Foreign and international awards</t>
        </is>
      </c>
      <c r="B27" s="6" t="inlineStr">
        <is>
          <t>World War II (Senior Orders)</t>
        </is>
      </c>
      <c r="C27" s="9" t="n">
        <v>26</v>
      </c>
      <c r="D27" s="12" t="inlineStr">
        <is>
          <t>Order of Pao Ting</t>
        </is>
      </c>
      <c r="E27" s="7">
        <f>IFERROR(IFERROR(IMAGE("https://commons.wikimedia.org/wiki/Special:FilePath/China_Order_of_Pao_Ting_ribbon.svg?width=110"),IFERROR(IMAGE("https://commons.wikimedia.org/wiki/Special:FilePath/China_Order_of_Pao_Ting_ribbon.png?width=110"),IFERROR(IMAGE("https://commons.wikimedia.org/wiki/Special:FilePath/Order_of_Pao_Ting_China_ribbon.svg?width=110"),IFERROR(IMAGE("https://commons.wikimedia.org/wiki/Special:FilePath/Order_of_Pao_Ting_China_ribbon.png?width=110"),IFERROR(IMAGE("https://commons.wikimedia.org/wiki/Special:FilePath/Order_of_Pao_Ting_China.svg?width=110"),IFERROR(IMAGE("https://commons.wikimedia.org/wiki/Special:FilePath/Order_of_Pao_Ting_China.png?width=110"),IFERROR(IMAGE("https://commons.wikimedia.org/wiki/Special:FilePath/Order_of_Pao_Ting_ribbon.svg?width=110"),IMAGE("https://commons.wikimedia.org/wiki/Special:FilePath/Order_of_Pao_Ting_ribbon.png?width=110")))))))),"")</f>
        <v/>
      </c>
      <c r="F27" s="11" t="inlineStr">
        <is>
          <t>https://commons.wikimedia.org/wiki/Special:FilePath/China_Order_of_Pao_Ting_ribbon.svg?width=110</t>
        </is>
      </c>
      <c r="G27" s="6" t="inlineStr">
        <is>
          <t>China</t>
        </is>
      </c>
      <c r="H27" s="6" t="inlineStr"/>
      <c r="I27" s="2" t="inlineStr">
        <is>
          <t>https://en.wikipedia.org/wiki/Awards_and_decorations_of_the_United_States_Armed_Forces</t>
        </is>
      </c>
    </row>
    <row r="28" ht="44" customHeight="1">
      <c r="A28" s="4" t="inlineStr">
        <is>
          <t>Foreign and international awards</t>
        </is>
      </c>
      <c r="B28" s="4" t="inlineStr">
        <is>
          <t>World War II (Senior Orders)</t>
        </is>
      </c>
      <c r="C28" s="9" t="n">
        <v>27</v>
      </c>
      <c r="D28" s="10" t="inlineStr">
        <is>
          <t>Order of Virtuti Militari</t>
        </is>
      </c>
      <c r="E28" s="5">
        <f>IFERROR(IFERROR(IMAGE("https://commons.wikimedia.org/wiki/Special:FilePath/Poland_Order_of_Virtuti_Militari_ribbon.svg?width=110"),IFERROR(IMAGE("https://commons.wikimedia.org/wiki/Special:FilePath/Poland_Order_of_Virtuti_Militari_ribbon.png?width=110"),IFERROR(IMAGE("https://commons.wikimedia.org/wiki/Special:FilePath/Order_of_Virtuti_Militari_Poland_ribbon.svg?width=110"),IFERROR(IMAGE("https://commons.wikimedia.org/wiki/Special:FilePath/Order_of_Virtuti_Militari_Poland_ribbon.png?width=110"),IFERROR(IMAGE("https://commons.wikimedia.org/wiki/Special:FilePath/Order_of_Virtuti_Militari_Poland.svg?width=110"),IFERROR(IMAGE("https://commons.wikimedia.org/wiki/Special:FilePath/Order_of_Virtuti_Militari_Poland.png?width=110"),IFERROR(IMAGE("https://commons.wikimedia.org/wiki/Special:FilePath/Order_of_Virtuti_Militari_ribbon.svg?width=110"),IMAGE("https://commons.wikimedia.org/wiki/Special:FilePath/Order_of_Virtuti_Militari_ribbon.png?width=110")))))))),"")</f>
        <v/>
      </c>
      <c r="F28" s="11" t="inlineStr">
        <is>
          <t>https://commons.wikimedia.org/wiki/Special:FilePath/Poland_Order_of_Virtuti_Militari_ribbon.svg?width=110</t>
        </is>
      </c>
      <c r="G28" s="4" t="inlineStr">
        <is>
          <t>Poland</t>
        </is>
      </c>
      <c r="H28" s="4" t="inlineStr"/>
      <c r="I28" s="2" t="inlineStr">
        <is>
          <t>https://en.wikipedia.org/wiki/Awards_and_decorations_of_the_United_States_Armed_Forces</t>
        </is>
      </c>
    </row>
    <row r="29" ht="44" customHeight="1">
      <c r="A29" s="6" t="inlineStr">
        <is>
          <t>Foreign and international awards</t>
        </is>
      </c>
      <c r="B29" s="6" t="inlineStr">
        <is>
          <t>World War II (Senior Orders)</t>
        </is>
      </c>
      <c r="C29" s="9" t="n">
        <v>28</v>
      </c>
      <c r="D29" s="12" t="inlineStr">
        <is>
          <t>Order of the White Eagle</t>
        </is>
      </c>
      <c r="E29" s="7">
        <f>IFERROR(IFERROR(IMAGE("https://commons.wikimedia.org/wiki/Special:FilePath/Poland_Order_of_the_White_Eagle_ribbon.svg?width=110"),IFERROR(IMAGE("https://commons.wikimedia.org/wiki/Special:FilePath/Poland_Order_of_the_White_Eagle_ribbon.png?width=110"),IFERROR(IMAGE("https://commons.wikimedia.org/wiki/Special:FilePath/Order_of_the_White_Eagle_Poland_ribbon.svg?width=110"),IFERROR(IMAGE("https://commons.wikimedia.org/wiki/Special:FilePath/Order_of_the_White_Eagle_Poland_ribbon.png?width=110"),IFERROR(IMAGE("https://commons.wikimedia.org/wiki/Special:FilePath/Order_of_the_White_Eagle_Poland.svg?width=110"),IFERROR(IMAGE("https://commons.wikimedia.org/wiki/Special:FilePath/Order_of_the_White_Eagle_Poland.png?width=110"),IFERROR(IMAGE("https://commons.wikimedia.org/wiki/Special:FilePath/Order_of_the_White_Eagle_ribbon.svg?width=110"),IMAGE("https://commons.wikimedia.org/wiki/Special:FilePath/Order_of_the_White_Eagle_ribbon.png?width=110")))))))),"")</f>
        <v/>
      </c>
      <c r="F29" s="11" t="inlineStr">
        <is>
          <t>https://commons.wikimedia.org/wiki/Special:FilePath/Poland_Order_of_the_White_Eagle_ribbon.svg?width=110</t>
        </is>
      </c>
      <c r="G29" s="6" t="inlineStr">
        <is>
          <t>Poland</t>
        </is>
      </c>
      <c r="H29" s="6" t="inlineStr"/>
      <c r="I29" s="2" t="inlineStr">
        <is>
          <t>https://en.wikipedia.org/wiki/Awards_and_decorations_of_the_United_States_Armed_Forces</t>
        </is>
      </c>
    </row>
    <row r="30" ht="44" customHeight="1">
      <c r="A30" s="4" t="inlineStr">
        <is>
          <t>Foreign and international awards</t>
        </is>
      </c>
      <c r="B30" s="4" t="inlineStr">
        <is>
          <t>World War II (Senior Orders)</t>
        </is>
      </c>
      <c r="C30" s="9" t="n">
        <v>29</v>
      </c>
      <c r="D30" s="10" t="inlineStr">
        <is>
          <t>Order of the White Eagle</t>
        </is>
      </c>
      <c r="E30" s="5">
        <f>IFERROR(IFERROR(IMAGE("https://commons.wikimedia.org/wiki/Special:FilePath/Yugoslavia_Order_of_the_White_Eagle_ribbon.svg?width=110"),IFERROR(IMAGE("https://commons.wikimedia.org/wiki/Special:FilePath/Yugoslavia_Order_of_the_White_Eagle_ribbon.png?width=110"),IFERROR(IMAGE("https://commons.wikimedia.org/wiki/Special:FilePath/Order_of_the_White_Eagle_Yugoslavia_ribbon.svg?width=110"),IFERROR(IMAGE("https://commons.wikimedia.org/wiki/Special:FilePath/Order_of_the_White_Eagle_Yugoslavia_ribbon.png?width=110"),IFERROR(IMAGE("https://commons.wikimedia.org/wiki/Special:FilePath/Order_of_the_White_Eagle_Yugoslavia.svg?width=110"),IFERROR(IMAGE("https://commons.wikimedia.org/wiki/Special:FilePath/Order_of_the_White_Eagle_Yugoslavia.png?width=110"),IFERROR(IMAGE("https://commons.wikimedia.org/wiki/Special:FilePath/Order_of_the_White_Eagle_ribbon.svg?width=110"),IMAGE("https://commons.wikimedia.org/wiki/Special:FilePath/Order_of_the_White_Eagle_ribbon.png?width=110")))))))),"")</f>
        <v/>
      </c>
      <c r="F30" s="11" t="inlineStr">
        <is>
          <t>https://commons.wikimedia.org/wiki/Special:FilePath/Yugoslavia_Order_of_the_White_Eagle_ribbon.svg?width=110</t>
        </is>
      </c>
      <c r="G30" s="4" t="inlineStr">
        <is>
          <t>Yugoslavia</t>
        </is>
      </c>
      <c r="H30" s="4" t="inlineStr"/>
      <c r="I30" s="2" t="inlineStr">
        <is>
          <t>https://en.wikipedia.org/wiki/Awards_and_decorations_of_the_United_States_Armed_Forces</t>
        </is>
      </c>
    </row>
    <row r="31" ht="44" customHeight="1">
      <c r="A31" s="6" t="inlineStr">
        <is>
          <t>Foreign and international awards</t>
        </is>
      </c>
      <c r="B31" s="6" t="inlineStr">
        <is>
          <t>World War II (Senior Orders)</t>
        </is>
      </c>
      <c r="C31" s="9" t="n">
        <v>30</v>
      </c>
      <c r="D31" s="12" t="inlineStr">
        <is>
          <t>Order of William</t>
        </is>
      </c>
      <c r="E31" s="7">
        <f>IFERROR(IFERROR(IMAGE("https://commons.wikimedia.org/wiki/Special:FilePath/Netherlands_Order_of_William_ribbon.svg?width=110"),IFERROR(IMAGE("https://commons.wikimedia.org/wiki/Special:FilePath/Netherlands_Order_of_William_ribbon.png?width=110"),IFERROR(IMAGE("https://commons.wikimedia.org/wiki/Special:FilePath/Order_of_William_Netherlands_ribbon.svg?width=110"),IFERROR(IMAGE("https://commons.wikimedia.org/wiki/Special:FilePath/Order_of_William_Netherlands_ribbon.png?width=110"),IFERROR(IMAGE("https://commons.wikimedia.org/wiki/Special:FilePath/Order_of_William_Netherlands.svg?width=110"),IFERROR(IMAGE("https://commons.wikimedia.org/wiki/Special:FilePath/Order_of_William_Netherlands.png?width=110"),IFERROR(IMAGE("https://commons.wikimedia.org/wiki/Special:FilePath/Order_of_William_ribbon.svg?width=110"),IMAGE("https://commons.wikimedia.org/wiki/Special:FilePath/Order_of_William_ribbon.png?width=110")))))))),"")</f>
        <v/>
      </c>
      <c r="F31" s="11" t="inlineStr">
        <is>
          <t>https://commons.wikimedia.org/wiki/Special:FilePath/Netherlands_Order_of_William_ribbon.svg?width=110</t>
        </is>
      </c>
      <c r="G31" s="6" t="inlineStr">
        <is>
          <t>Netherlands</t>
        </is>
      </c>
      <c r="H31" s="6" t="inlineStr"/>
      <c r="I31" s="2" t="inlineStr">
        <is>
          <t>https://en.wikipedia.org/wiki/Awards_and_decorations_of_the_United_States_Armed_Forces</t>
        </is>
      </c>
    </row>
    <row r="32" ht="44" customHeight="1">
      <c r="A32" s="4" t="inlineStr">
        <is>
          <t>Foreign and international awards</t>
        </is>
      </c>
      <c r="B32" s="4" t="inlineStr">
        <is>
          <t>Korean War, South Korea and the United Nations</t>
        </is>
      </c>
      <c r="C32" s="9" t="n">
        <v>31</v>
      </c>
      <c r="D32" s="10" t="inlineStr">
        <is>
          <t>United Nations Service Medal</t>
        </is>
      </c>
      <c r="E32" s="5">
        <f>IFERROR(IFERROR(IMAGE("https://commons.wikimedia.org/wiki/Special:FilePath/United_Nations_Service_Medal_ribbon.svg?width=110"),IFERROR(IMAGE("https://commons.wikimedia.org/wiki/Special:FilePath/United_Nations_Service_Medal_ribbon.png?width=110"),IFERROR(IMAGE("https://commons.wikimedia.org/wiki/Special:FilePath/United_Nations_Service_Medal.svg?width=110"),IMAGE("https://commons.wikimedia.org/wiki/Special:FilePath/United_Nations_Service_Medal.png?width=110")))),"")</f>
        <v/>
      </c>
      <c r="F32" s="11" t="inlineStr">
        <is>
          <t>https://commons.wikimedia.org/wiki/Special:FilePath/United_Nations_Service_Medal_ribbon.svg?width=110</t>
        </is>
      </c>
      <c r="G32" s="4" t="inlineStr"/>
      <c r="H32" s="4" t="inlineStr"/>
      <c r="I32" s="2" t="inlineStr">
        <is>
          <t>https://en.wikipedia.org/wiki/Awards_and_decorations_of_the_United_States_Armed_Forces</t>
        </is>
      </c>
    </row>
    <row r="33" ht="44" customHeight="1">
      <c r="A33" s="6" t="inlineStr">
        <is>
          <t>Foreign and international awards</t>
        </is>
      </c>
      <c r="B33" s="6" t="inlineStr">
        <is>
          <t>Korean War, South Korea and the United Nations</t>
        </is>
      </c>
      <c r="C33" s="9" t="n">
        <v>32</v>
      </c>
      <c r="D33" s="12" t="inlineStr">
        <is>
          <t>Republic of Korea War Service Medal</t>
        </is>
      </c>
      <c r="E33" s="7">
        <f>IFERROR(IFERROR(IMAGE("https://commons.wikimedia.org/wiki/Special:FilePath/Republic_of_Korea_War_Service_Medal_ribbon.svg?width=110"),IFERROR(IMAGE("https://commons.wikimedia.org/wiki/Special:FilePath/Republic_of_Korea_War_Service_Medal_ribbon.png?width=110"),IFERROR(IMAGE("https://commons.wikimedia.org/wiki/Special:FilePath/Republic_of_Korea_War_Service_Medal.svg?width=110"),IMAGE("https://commons.wikimedia.org/wiki/Special:FilePath/Republic_of_Korea_War_Service_Medal.png?width=110")))),"")</f>
        <v/>
      </c>
      <c r="F33" s="11" t="inlineStr">
        <is>
          <t>https://commons.wikimedia.org/wiki/Special:FilePath/Republic_of_Korea_War_Service_Medal_ribbon.svg?width=110</t>
        </is>
      </c>
      <c r="G33" s="6" t="inlineStr"/>
      <c r="H33" s="6" t="inlineStr"/>
      <c r="I33" s="2" t="inlineStr">
        <is>
          <t>https://en.wikipedia.org/wiki/Awards_and_decorations_of_the_United_States_Armed_Forces</t>
        </is>
      </c>
    </row>
    <row r="34" ht="44" customHeight="1">
      <c r="A34" s="4" t="inlineStr">
        <is>
          <t>Foreign and international awards</t>
        </is>
      </c>
      <c r="B34" s="4" t="inlineStr">
        <is>
          <t>Korean War, South Korea and the United Nations</t>
        </is>
      </c>
      <c r="C34" s="9" t="n">
        <v>33</v>
      </c>
      <c r="D34" s="10" t="inlineStr">
        <is>
          <t>Republic of Korea Presidential Unit Citation</t>
        </is>
      </c>
      <c r="E34" s="5">
        <f>IFERROR(IFERROR(IMAGE("https://commons.wikimedia.org/wiki/Special:FilePath/Republic_of_Korea_Presidential_Unit_Citation_ribbon.svg?width=110"),IFERROR(IMAGE("https://commons.wikimedia.org/wiki/Special:FilePath/Republic_of_Korea_Presidential_Unit_Citation_ribbon.png?width=110"),IFERROR(IMAGE("https://commons.wikimedia.org/wiki/Special:FilePath/Republic_of_Korea_Presidential_Unit_Citation.svg?width=110"),IMAGE("https://commons.wikimedia.org/wiki/Special:FilePath/Republic_of_Korea_Presidential_Unit_Citation.png?width=110")))),"")</f>
        <v/>
      </c>
      <c r="F34" s="11" t="inlineStr">
        <is>
          <t>https://commons.wikimedia.org/wiki/Special:FilePath/Republic_of_Korea_Presidential_Unit_Citation_ribbon.svg?width=110</t>
        </is>
      </c>
      <c r="G34" s="4" t="inlineStr"/>
      <c r="H34" s="4" t="inlineStr"/>
      <c r="I34" s="2" t="inlineStr">
        <is>
          <t>https://en.wikipedia.org/wiki/Awards_and_decorations_of_the_United_States_Armed_Forces</t>
        </is>
      </c>
    </row>
    <row r="35" ht="44" customHeight="1">
      <c r="A35" s="6" t="inlineStr">
        <is>
          <t>Foreign and international awards</t>
        </is>
      </c>
      <c r="B35" s="6" t="inlineStr">
        <is>
          <t>Vietnam War, Republic of Vietnam (South Vietnam)</t>
        </is>
      </c>
      <c r="C35" s="9" t="n">
        <v>34</v>
      </c>
      <c r="D35" s="12" t="inlineStr">
        <is>
          <t>RVN Army Distinguished Service Order</t>
        </is>
      </c>
      <c r="E35" s="7">
        <f>IFERROR(IFERROR(IMAGE("https://commons.wikimedia.org/wiki/Special:FilePath/RVN_Army_Distinguished_Service_Order_ribbon.svg?width=110"),IFERROR(IMAGE("https://commons.wikimedia.org/wiki/Special:FilePath/RVN_Army_Distinguished_Service_Order_ribbon.png?width=110"),IFERROR(IMAGE("https://commons.wikimedia.org/wiki/Special:FilePath/RVN_Army_Distinguished_Service_Order.svg?width=110"),IMAGE("https://commons.wikimedia.org/wiki/Special:FilePath/RVN_Army_Distinguished_Service_Order.png?width=110")))),"")</f>
        <v/>
      </c>
      <c r="F35" s="11" t="inlineStr">
        <is>
          <t>https://commons.wikimedia.org/wiki/Special:FilePath/RVN_Army_Distinguished_Service_Order_ribbon.svg?width=110</t>
        </is>
      </c>
      <c r="G35" s="6" t="inlineStr"/>
      <c r="H35" s="6" t="inlineStr"/>
      <c r="I35" s="2" t="inlineStr">
        <is>
          <t>https://en.wikipedia.org/wiki/Awards_and_decorations_of_the_United_States_Armed_Forces</t>
        </is>
      </c>
    </row>
    <row r="36" ht="44" customHeight="1">
      <c r="A36" s="4" t="inlineStr">
        <is>
          <t>Foreign and international awards</t>
        </is>
      </c>
      <c r="B36" s="4" t="inlineStr">
        <is>
          <t>Vietnam War, Republic of Vietnam (South Vietnam)</t>
        </is>
      </c>
      <c r="C36" s="9" t="n">
        <v>35</v>
      </c>
      <c r="D36" s="10" t="inlineStr">
        <is>
          <t>RVN Navy Distinguished Service Order</t>
        </is>
      </c>
      <c r="E36" s="5">
        <f>IFERROR(IFERROR(IMAGE("https://commons.wikimedia.org/wiki/Special:FilePath/RVN_Navy_Distinguished_Service_Order_ribbon.svg?width=110"),IFERROR(IMAGE("https://commons.wikimedia.org/wiki/Special:FilePath/RVN_Navy_Distinguished_Service_Order_ribbon.png?width=110"),IFERROR(IMAGE("https://commons.wikimedia.org/wiki/Special:FilePath/RVN_Navy_Distinguished_Service_Order.svg?width=110"),IMAGE("https://commons.wikimedia.org/wiki/Special:FilePath/RVN_Navy_Distinguished_Service_Order.png?width=110")))),"")</f>
        <v/>
      </c>
      <c r="F36" s="11" t="inlineStr">
        <is>
          <t>https://commons.wikimedia.org/wiki/Special:FilePath/RVN_Navy_Distinguished_Service_Order_ribbon.svg?width=110</t>
        </is>
      </c>
      <c r="G36" s="4" t="inlineStr"/>
      <c r="H36" s="4" t="inlineStr"/>
      <c r="I36" s="2" t="inlineStr">
        <is>
          <t>https://en.wikipedia.org/wiki/Awards_and_decorations_of_the_United_States_Armed_Forces</t>
        </is>
      </c>
    </row>
    <row r="37" ht="44" customHeight="1">
      <c r="A37" s="6" t="inlineStr">
        <is>
          <t>Foreign and international awards</t>
        </is>
      </c>
      <c r="B37" s="6" t="inlineStr">
        <is>
          <t>Vietnam War, Republic of Vietnam (South Vietnam)</t>
        </is>
      </c>
      <c r="C37" s="9" t="n">
        <v>36</v>
      </c>
      <c r="D37" s="12" t="inlineStr">
        <is>
          <t>RVN Air Force Distinguished Service Order</t>
        </is>
      </c>
      <c r="E37" s="7">
        <f>IFERROR(IFERROR(IMAGE("https://commons.wikimedia.org/wiki/Special:FilePath/RVN_Air_Force_Distinguished_Service_Order_ribbon.svg?width=110"),IFERROR(IMAGE("https://commons.wikimedia.org/wiki/Special:FilePath/RVN_Air_Force_Distinguished_Service_Order_ribbon.png?width=110"),IFERROR(IMAGE("https://commons.wikimedia.org/wiki/Special:FilePath/RVN_Air_Force_Distinguished_Service_Order.svg?width=110"),IMAGE("https://commons.wikimedia.org/wiki/Special:FilePath/RVN_Air_Force_Distinguished_Service_Order.png?width=110")))),"")</f>
        <v/>
      </c>
      <c r="F37" s="11" t="inlineStr">
        <is>
          <t>https://commons.wikimedia.org/wiki/Special:FilePath/RVN_Air_Force_Distinguished_Service_Order_ribbon.svg?width=110</t>
        </is>
      </c>
      <c r="G37" s="6" t="inlineStr"/>
      <c r="H37" s="6" t="inlineStr"/>
      <c r="I37" s="2" t="inlineStr">
        <is>
          <t>https://en.wikipedia.org/wiki/Awards_and_decorations_of_the_United_States_Armed_Forces</t>
        </is>
      </c>
    </row>
    <row r="38" ht="44" customHeight="1">
      <c r="A38" s="4" t="inlineStr">
        <is>
          <t>Foreign and international awards</t>
        </is>
      </c>
      <c r="B38" s="4" t="inlineStr">
        <is>
          <t>Vietnam War, Republic of Vietnam (South Vietnam)</t>
        </is>
      </c>
      <c r="C38" s="9" t="n">
        <v>37</v>
      </c>
      <c r="D38" s="10" t="inlineStr">
        <is>
          <t>RVN Military Merit Medal</t>
        </is>
      </c>
      <c r="E38" s="5">
        <f>IFERROR(IFERROR(IMAGE("https://commons.wikimedia.org/wiki/Special:FilePath/RVN_Military_Merit_Medal_ribbon.svg?width=110"),IFERROR(IMAGE("https://commons.wikimedia.org/wiki/Special:FilePath/RVN_Military_Merit_Medal_ribbon.png?width=110"),IFERROR(IMAGE("https://commons.wikimedia.org/wiki/Special:FilePath/RVN_Military_Merit_Medal.svg?width=110"),IMAGE("https://commons.wikimedia.org/wiki/Special:FilePath/RVN_Military_Merit_Medal.png?width=110")))),"")</f>
        <v/>
      </c>
      <c r="F38" s="11" t="inlineStr">
        <is>
          <t>https://commons.wikimedia.org/wiki/Special:FilePath/RVN_Military_Merit_Medal_ribbon.svg?width=110</t>
        </is>
      </c>
      <c r="G38" s="4" t="inlineStr"/>
      <c r="H38" s="4" t="inlineStr"/>
      <c r="I38" s="2" t="inlineStr">
        <is>
          <t>https://en.wikipedia.org/wiki/Awards_and_decorations_of_the_United_States_Armed_Forces</t>
        </is>
      </c>
    </row>
    <row r="39" ht="44" customHeight="1">
      <c r="A39" s="6" t="inlineStr">
        <is>
          <t>Foreign and international awards</t>
        </is>
      </c>
      <c r="B39" s="6" t="inlineStr">
        <is>
          <t>Vietnam War, Republic of Vietnam (South Vietnam)</t>
        </is>
      </c>
      <c r="C39" s="9" t="n">
        <v>38</v>
      </c>
      <c r="D39" s="12" t="inlineStr">
        <is>
          <t>RVN Gallantry Cross</t>
        </is>
      </c>
      <c r="E39" s="7">
        <f>IFERROR(IFERROR(IMAGE("https://commons.wikimedia.org/wiki/Special:FilePath/RVN_Gallantry_Cross_ribbon.svg?width=110"),IFERROR(IMAGE("https://commons.wikimedia.org/wiki/Special:FilePath/RVN_Gallantry_Cross_ribbon.png?width=110"),IFERROR(IMAGE("https://commons.wikimedia.org/wiki/Special:FilePath/RVN_Gallantry_Cross.svg?width=110"),IMAGE("https://commons.wikimedia.org/wiki/Special:FilePath/RVN_Gallantry_Cross.png?width=110")))),"")</f>
        <v/>
      </c>
      <c r="F39" s="11" t="inlineStr">
        <is>
          <t>https://commons.wikimedia.org/wiki/Special:FilePath/RVN_Gallantry_Cross_ribbon.svg?width=110</t>
        </is>
      </c>
      <c r="G39" s="6" t="inlineStr"/>
      <c r="H39" s="6" t="inlineStr"/>
      <c r="I39" s="2" t="inlineStr">
        <is>
          <t>https://en.wikipedia.org/wiki/Awards_and_decorations_of_the_United_States_Armed_Forces</t>
        </is>
      </c>
    </row>
    <row r="40" ht="44" customHeight="1">
      <c r="A40" s="4" t="inlineStr">
        <is>
          <t>Foreign and international awards</t>
        </is>
      </c>
      <c r="B40" s="4" t="inlineStr">
        <is>
          <t>Vietnam War, Republic of Vietnam (South Vietnam)</t>
        </is>
      </c>
      <c r="C40" s="9" t="n">
        <v>39</v>
      </c>
      <c r="D40" s="10" t="inlineStr">
        <is>
          <t>RVN Air Gallantry Cross</t>
        </is>
      </c>
      <c r="E40" s="5">
        <f>IFERROR(IFERROR(IMAGE("https://commons.wikimedia.org/wiki/Special:FilePath/RVN_Air_Gallantry_Cross_ribbon.svg?width=110"),IFERROR(IMAGE("https://commons.wikimedia.org/wiki/Special:FilePath/RVN_Air_Gallantry_Cross_ribbon.png?width=110"),IFERROR(IMAGE("https://commons.wikimedia.org/wiki/Special:FilePath/RVN_Air_Gallantry_Cross.svg?width=110"),IMAGE("https://commons.wikimedia.org/wiki/Special:FilePath/RVN_Air_Gallantry_Cross.png?width=110")))),"")</f>
        <v/>
      </c>
      <c r="F40" s="11" t="inlineStr">
        <is>
          <t>https://commons.wikimedia.org/wiki/Special:FilePath/RVN_Air_Gallantry_Cross_ribbon.svg?width=110</t>
        </is>
      </c>
      <c r="G40" s="4" t="inlineStr"/>
      <c r="H40" s="4" t="inlineStr"/>
      <c r="I40" s="2" t="inlineStr">
        <is>
          <t>https://en.wikipedia.org/wiki/Awards_and_decorations_of_the_United_States_Armed_Forces</t>
        </is>
      </c>
    </row>
    <row r="41" ht="44" customHeight="1">
      <c r="A41" s="6" t="inlineStr">
        <is>
          <t>Foreign and international awards</t>
        </is>
      </c>
      <c r="B41" s="6" t="inlineStr">
        <is>
          <t>Vietnam War, Republic of Vietnam (South Vietnam)</t>
        </is>
      </c>
      <c r="C41" s="9" t="n">
        <v>40</v>
      </c>
      <c r="D41" s="12" t="inlineStr">
        <is>
          <t>RVN Navy Gallantry Cross</t>
        </is>
      </c>
      <c r="E41" s="7">
        <f>IFERROR(IFERROR(IMAGE("https://commons.wikimedia.org/wiki/Special:FilePath/RVN_Navy_Gallantry_Cross_ribbon.svg?width=110"),IFERROR(IMAGE("https://commons.wikimedia.org/wiki/Special:FilePath/RVN_Navy_Gallantry_Cross_ribbon.png?width=110"),IFERROR(IMAGE("https://commons.wikimedia.org/wiki/Special:FilePath/RVN_Navy_Gallantry_Cross.svg?width=110"),IMAGE("https://commons.wikimedia.org/wiki/Special:FilePath/RVN_Navy_Gallantry_Cross.png?width=110")))),"")</f>
        <v/>
      </c>
      <c r="F41" s="11" t="inlineStr">
        <is>
          <t>https://commons.wikimedia.org/wiki/Special:FilePath/RVN_Navy_Gallantry_Cross_ribbon.svg?width=110</t>
        </is>
      </c>
      <c r="G41" s="6" t="inlineStr"/>
      <c r="H41" s="6" t="inlineStr"/>
      <c r="I41" s="2" t="inlineStr">
        <is>
          <t>https://en.wikipedia.org/wiki/Awards_and_decorations_of_the_United_States_Armed_Forces</t>
        </is>
      </c>
    </row>
    <row r="42" ht="44" customHeight="1">
      <c r="A42" s="4" t="inlineStr">
        <is>
          <t>Foreign and international awards</t>
        </is>
      </c>
      <c r="B42" s="4" t="inlineStr">
        <is>
          <t>Vietnam War, Republic of Vietnam (South Vietnam)</t>
        </is>
      </c>
      <c r="C42" s="9" t="n">
        <v>41</v>
      </c>
      <c r="D42" s="10" t="inlineStr">
        <is>
          <t>RVN Armed Forces Honor Medal</t>
        </is>
      </c>
      <c r="E42" s="5">
        <f>IFERROR(IFERROR(IMAGE("https://commons.wikimedia.org/wiki/Special:FilePath/RVN_Armed_Forces_Honor_Medal_ribbon.svg?width=110"),IFERROR(IMAGE("https://commons.wikimedia.org/wiki/Special:FilePath/RVN_Armed_Forces_Honor_Medal_ribbon.png?width=110"),IFERROR(IMAGE("https://commons.wikimedia.org/wiki/Special:FilePath/RVN_Armed_Forces_Honor_Medal.svg?width=110"),IMAGE("https://commons.wikimedia.org/wiki/Special:FilePath/RVN_Armed_Forces_Honor_Medal.png?width=110")))),"")</f>
        <v/>
      </c>
      <c r="F42" s="11" t="inlineStr">
        <is>
          <t>https://commons.wikimedia.org/wiki/Special:FilePath/RVN_Armed_Forces_Honor_Medal_ribbon.svg?width=110</t>
        </is>
      </c>
      <c r="G42" s="4" t="inlineStr"/>
      <c r="H42" s="4" t="inlineStr"/>
      <c r="I42" s="2" t="inlineStr">
        <is>
          <t>https://en.wikipedia.org/wiki/Awards_and_decorations_of_the_United_States_Armed_Forces</t>
        </is>
      </c>
    </row>
    <row r="43" ht="44" customHeight="1">
      <c r="A43" s="6" t="inlineStr">
        <is>
          <t>Foreign and international awards</t>
        </is>
      </c>
      <c r="B43" s="6" t="inlineStr">
        <is>
          <t>Vietnam War, Republic of Vietnam (South Vietnam)</t>
        </is>
      </c>
      <c r="C43" s="9" t="n">
        <v>42</v>
      </c>
      <c r="D43" s="12" t="inlineStr">
        <is>
          <t>RVN Civil Actions Medal</t>
        </is>
      </c>
      <c r="E43" s="7">
        <f>IFERROR(IFERROR(IMAGE("https://commons.wikimedia.org/wiki/Special:FilePath/RVN_Civil_Actions_Medal_ribbon.svg?width=110"),IFERROR(IMAGE("https://commons.wikimedia.org/wiki/Special:FilePath/RVN_Civil_Actions_Medal_ribbon.png?width=110"),IFERROR(IMAGE("https://commons.wikimedia.org/wiki/Special:FilePath/RVN_Civil_Actions_Medal.svg?width=110"),IMAGE("https://commons.wikimedia.org/wiki/Special:FilePath/RVN_Civil_Actions_Medal.png?width=110")))),"")</f>
        <v/>
      </c>
      <c r="F43" s="11" t="inlineStr">
        <is>
          <t>https://commons.wikimedia.org/wiki/Special:FilePath/RVN_Civil_Actions_Medal_ribbon.svg?width=110</t>
        </is>
      </c>
      <c r="G43" s="6" t="inlineStr"/>
      <c r="H43" s="6" t="inlineStr"/>
      <c r="I43" s="2" t="inlineStr">
        <is>
          <t>https://en.wikipedia.org/wiki/Awards_and_decorations_of_the_United_States_Armed_Forces</t>
        </is>
      </c>
    </row>
    <row r="44" ht="44" customHeight="1">
      <c r="A44" s="4" t="inlineStr">
        <is>
          <t>Foreign and international awards</t>
        </is>
      </c>
      <c r="B44" s="4" t="inlineStr">
        <is>
          <t>Vietnam War, Republic of Vietnam (South Vietnam)</t>
        </is>
      </c>
      <c r="C44" s="9" t="n">
        <v>43</v>
      </c>
      <c r="D44" s="10" t="inlineStr">
        <is>
          <t>RVN Staff Service Medal</t>
        </is>
      </c>
      <c r="E44" s="5">
        <f>IFERROR(IFERROR(IMAGE("https://commons.wikimedia.org/wiki/Special:FilePath/RVN_Staff_Service_Medal_ribbon.svg?width=110"),IFERROR(IMAGE("https://commons.wikimedia.org/wiki/Special:FilePath/RVN_Staff_Service_Medal_ribbon.png?width=110"),IFERROR(IMAGE("https://commons.wikimedia.org/wiki/Special:FilePath/RVN_Staff_Service_Medal.svg?width=110"),IMAGE("https://commons.wikimedia.org/wiki/Special:FilePath/RVN_Staff_Service_Medal.png?width=110")))),"")</f>
        <v/>
      </c>
      <c r="F44" s="11" t="inlineStr">
        <is>
          <t>https://commons.wikimedia.org/wiki/Special:FilePath/RVN_Staff_Service_Medal_ribbon.svg?width=110</t>
        </is>
      </c>
      <c r="G44" s="4" t="inlineStr"/>
      <c r="H44" s="4" t="inlineStr"/>
      <c r="I44" s="2" t="inlineStr">
        <is>
          <t>https://en.wikipedia.org/wiki/Awards_and_decorations_of_the_United_States_Armed_Forces</t>
        </is>
      </c>
    </row>
    <row r="45" ht="44" customHeight="1">
      <c r="A45" s="6" t="inlineStr">
        <is>
          <t>Foreign and international awards</t>
        </is>
      </c>
      <c r="B45" s="6" t="inlineStr">
        <is>
          <t>Vietnam War, Republic of Vietnam (South Vietnam)</t>
        </is>
      </c>
      <c r="C45" s="9" t="n">
        <v>44</v>
      </c>
      <c r="D45" s="12" t="inlineStr">
        <is>
          <t>RVN Special Service Medal</t>
        </is>
      </c>
      <c r="E45" s="7">
        <f>IFERROR(IFERROR(IMAGE("https://commons.wikimedia.org/wiki/Special:FilePath/RVN_Special_Service_Medal_ribbon.svg?width=110"),IFERROR(IMAGE("https://commons.wikimedia.org/wiki/Special:FilePath/RVN_Special_Service_Medal_ribbon.png?width=110"),IFERROR(IMAGE("https://commons.wikimedia.org/wiki/Special:FilePath/RVN_Special_Service_Medal.svg?width=110"),IMAGE("https://commons.wikimedia.org/wiki/Special:FilePath/RVN_Special_Service_Medal.png?width=110")))),"")</f>
        <v/>
      </c>
      <c r="F45" s="11" t="inlineStr">
        <is>
          <t>https://commons.wikimedia.org/wiki/Special:FilePath/RVN_Special_Service_Medal_ribbon.svg?width=110</t>
        </is>
      </c>
      <c r="G45" s="6" t="inlineStr"/>
      <c r="H45" s="6" t="inlineStr"/>
      <c r="I45" s="2" t="inlineStr">
        <is>
          <t>https://en.wikipedia.org/wiki/Awards_and_decorations_of_the_United_States_Armed_Forces</t>
        </is>
      </c>
    </row>
    <row r="46" ht="44" customHeight="1">
      <c r="A46" s="4" t="inlineStr">
        <is>
          <t>Foreign and international awards</t>
        </is>
      </c>
      <c r="B46" s="4" t="inlineStr">
        <is>
          <t>Vietnam War, Republic of Vietnam (South Vietnam)</t>
        </is>
      </c>
      <c r="C46" s="9" t="n">
        <v>45</v>
      </c>
      <c r="D46" s="10" t="inlineStr">
        <is>
          <t>RVN Training Service Medal</t>
        </is>
      </c>
      <c r="E46" s="5">
        <f>IFERROR(IFERROR(IMAGE("https://commons.wikimedia.org/wiki/Special:FilePath/RVN_Training_Service_Medal_ribbon.svg?width=110"),IFERROR(IMAGE("https://commons.wikimedia.org/wiki/Special:FilePath/RVN_Training_Service_Medal_ribbon.png?width=110"),IFERROR(IMAGE("https://commons.wikimedia.org/wiki/Special:FilePath/RVN_Training_Service_Medal.svg?width=110"),IMAGE("https://commons.wikimedia.org/wiki/Special:FilePath/RVN_Training_Service_Medal.png?width=110")))),"")</f>
        <v/>
      </c>
      <c r="F46" s="11" t="inlineStr">
        <is>
          <t>https://commons.wikimedia.org/wiki/Special:FilePath/RVN_Training_Service_Medal_ribbon.svg?width=110</t>
        </is>
      </c>
      <c r="G46" s="4" t="inlineStr"/>
      <c r="H46" s="4" t="inlineStr"/>
      <c r="I46" s="2" t="inlineStr">
        <is>
          <t>https://en.wikipedia.org/wiki/Awards_and_decorations_of_the_United_States_Armed_Forces</t>
        </is>
      </c>
    </row>
    <row r="47" ht="44" customHeight="1">
      <c r="A47" s="6" t="inlineStr">
        <is>
          <t>Foreign and international awards</t>
        </is>
      </c>
      <c r="B47" s="6" t="inlineStr">
        <is>
          <t>Vietnam War, Republic of Vietnam (South Vietnam)</t>
        </is>
      </c>
      <c r="C47" s="9" t="n">
        <v>46</v>
      </c>
      <c r="D47" s="12" t="inlineStr">
        <is>
          <t>RVN Presidential Unit Citation</t>
        </is>
      </c>
      <c r="E47" s="7">
        <f>IFERROR(IFERROR(IMAGE("https://commons.wikimedia.org/wiki/Special:FilePath/RVN_Presidential_Unit_Citation_ribbon.svg?width=110"),IFERROR(IMAGE("https://commons.wikimedia.org/wiki/Special:FilePath/RVN_Presidential_Unit_Citation_ribbon.png?width=110"),IFERROR(IMAGE("https://commons.wikimedia.org/wiki/Special:FilePath/RVN_Presidential_Unit_Citation.svg?width=110"),IMAGE("https://commons.wikimedia.org/wiki/Special:FilePath/RVN_Presidential_Unit_Citation.png?width=110")))),"")</f>
        <v/>
      </c>
      <c r="F47" s="11" t="inlineStr">
        <is>
          <t>https://commons.wikimedia.org/wiki/Special:FilePath/RVN_Presidential_Unit_Citation_ribbon.svg?width=110</t>
        </is>
      </c>
      <c r="G47" s="6" t="inlineStr"/>
      <c r="H47" s="6" t="inlineStr"/>
      <c r="I47" s="2" t="inlineStr">
        <is>
          <t>https://en.wikipedia.org/wiki/Awards_and_decorations_of_the_United_States_Armed_Forces</t>
        </is>
      </c>
    </row>
    <row r="48" ht="44" customHeight="1">
      <c r="A48" s="4" t="inlineStr">
        <is>
          <t>Foreign and international awards</t>
        </is>
      </c>
      <c r="B48" s="4" t="inlineStr">
        <is>
          <t>Vietnam War, Republic of Vietnam (South Vietnam)</t>
        </is>
      </c>
      <c r="C48" s="9" t="n">
        <v>47</v>
      </c>
      <c r="D48" s="10" t="inlineStr">
        <is>
          <t>RVN Gallantry Cross Unit Citation with palm and frame</t>
        </is>
      </c>
      <c r="E48" s="5">
        <f>IFERROR(IFERROR(IMAGE("https://commons.wikimedia.org/wiki/Special:FilePath/RVN_Gallantry_Cross_Unit_Citation_with_palm_and_frame_ribbon.svg?width=110"),IFERROR(IMAGE("https://commons.wikimedia.org/wiki/Special:FilePath/RVN_Gallantry_Cross_Unit_Citation_with_palm_and_frame_ribbon.png?width=110"),IFERROR(IMAGE("https://commons.wikimedia.org/wiki/Special:FilePath/RVN_Gallantry_Cross_Unit_Citation_with_palm_and_frame.svg?width=110"),IMAGE("https://commons.wikimedia.org/wiki/Special:FilePath/RVN_Gallantry_Cross_Unit_Citation_with_palm_and_frame.png?width=110")))),"")</f>
        <v/>
      </c>
      <c r="F48" s="11" t="inlineStr">
        <is>
          <t>https://commons.wikimedia.org/wiki/Special:FilePath/RVN_Gallantry_Cross_Unit_Citation_with_palm_and_frame_ribbon.svg?width=110</t>
        </is>
      </c>
      <c r="G48" s="4" t="inlineStr"/>
      <c r="H48" s="4" t="inlineStr"/>
      <c r="I48" s="2" t="inlineStr">
        <is>
          <t>https://en.wikipedia.org/wiki/Awards_and_decorations_of_the_United_States_Armed_Forces</t>
        </is>
      </c>
    </row>
    <row r="49" ht="44" customHeight="1">
      <c r="A49" s="6" t="inlineStr">
        <is>
          <t>Foreign and international awards</t>
        </is>
      </c>
      <c r="B49" s="6" t="inlineStr">
        <is>
          <t>Vietnam War, Republic of Vietnam (South Vietnam)</t>
        </is>
      </c>
      <c r="C49" s="9" t="n">
        <v>48</v>
      </c>
      <c r="D49" s="12" t="inlineStr">
        <is>
          <t>RVN Civil Actions Medal Unit Citation with palm and frame</t>
        </is>
      </c>
      <c r="E49" s="7">
        <f>IFERROR(IFERROR(IMAGE("https://commons.wikimedia.org/wiki/Special:FilePath/RVN_Civil_Actions_Medal_Unit_Citation_with_palm_and_frame_ribbon.svg?width=110"),IFERROR(IMAGE("https://commons.wikimedia.org/wiki/Special:FilePath/RVN_Civil_Actions_Medal_Unit_Citation_with_palm_and_frame_ribbon.png?width=110"),IFERROR(IMAGE("https://commons.wikimedia.org/wiki/Special:FilePath/RVN_Civil_Actions_Medal_Unit_Citation_with_palm_and_frame.svg?width=110"),IFERROR(IMAGE("https://commons.wikimedia.org/wiki/Special:FilePath/RVN_Civil_Actions_Medal_Unit_Citation_with_palm_and_frame.png?width=110"),IFERROR(IMAGE("https://commons.wikimedia.org/wiki/Special:FilePath/RVN_Civil_Actions_Unit_Citation_with_palm_and_frame_Medal_ribbon.svg?width=110"),IMAGE("https://commons.wikimedia.org/wiki/Special:FilePath/RVN_Civil_Actions_Unit_Citation_with_palm_and_frame_Medal_ribbon.png?width=110")))))),"")</f>
        <v/>
      </c>
      <c r="F49" s="11" t="inlineStr">
        <is>
          <t>https://commons.wikimedia.org/wiki/Special:FilePath/RVN_Civil_Actions_Medal_Unit_Citation_with_palm_and_frame_ribbon.svg?width=110</t>
        </is>
      </c>
      <c r="G49" s="6" t="inlineStr"/>
      <c r="H49" s="6" t="inlineStr"/>
      <c r="I49" s="2" t="inlineStr">
        <is>
          <t>https://en.wikipedia.org/wiki/Awards_and_decorations_of_the_United_States_Armed_Forces</t>
        </is>
      </c>
    </row>
    <row r="50" ht="44" customHeight="1">
      <c r="A50" s="4" t="inlineStr">
        <is>
          <t>Foreign and international awards</t>
        </is>
      </c>
      <c r="B50" s="4" t="inlineStr">
        <is>
          <t>Vietnam War, Republic of Vietnam (South Vietnam)</t>
        </is>
      </c>
      <c r="C50" s="9" t="n">
        <v>49</v>
      </c>
      <c r="D50" s="10" t="inlineStr">
        <is>
          <t>RVN Campaign Medal with 1960- device</t>
        </is>
      </c>
      <c r="E50" s="5">
        <f>IFERROR(IFERROR(IMAGE("https://commons.wikimedia.org/wiki/Special:FilePath/RVN_Campaign_Medal_with_1960-_device_ribbon.svg?width=110"),IFERROR(IMAGE("https://commons.wikimedia.org/wiki/Special:FilePath/RVN_Campaign_Medal_with_1960-_device_ribbon.png?width=110"),IFERROR(IMAGE("https://commons.wikimedia.org/wiki/Special:FilePath/RVN_Campaign_Medal_with_1960-_device.svg?width=110"),IFERROR(IMAGE("https://commons.wikimedia.org/wiki/Special:FilePath/RVN_Campaign_Medal_with_1960-_device.png?width=110"),IFERROR(IMAGE("https://commons.wikimedia.org/wiki/Special:FilePath/RVN_Campaign_with_1960-_device_Medal_ribbon.svg?width=110"),IMAGE("https://commons.wikimedia.org/wiki/Special:FilePath/RVN_Campaign_with_1960-_device_Medal_ribbon.png?width=110")))))),"")</f>
        <v/>
      </c>
      <c r="F50" s="11" t="inlineStr">
        <is>
          <t>https://commons.wikimedia.org/wiki/Special:FilePath/RVN_Campaign_Medal_with_1960-_device_ribbon.svg?width=110</t>
        </is>
      </c>
      <c r="G50" s="4" t="inlineStr"/>
      <c r="H50" s="4" t="inlineStr"/>
      <c r="I50" s="2" t="inlineStr">
        <is>
          <t>https://en.wikipedia.org/wiki/Awards_and_decorations_of_the_United_States_Armed_Forces</t>
        </is>
      </c>
    </row>
    <row r="51" ht="44" customHeight="1">
      <c r="A51" s="6" t="inlineStr">
        <is>
          <t>Foreign and international awards</t>
        </is>
      </c>
      <c r="B51" s="6" t="inlineStr">
        <is>
          <t>Persian Gulf War</t>
        </is>
      </c>
      <c r="C51" s="9" t="n">
        <v>50</v>
      </c>
      <c r="D51" s="12" t="inlineStr">
        <is>
          <t>Kuwait Liberation Medal</t>
        </is>
      </c>
      <c r="E51" s="7">
        <f>IFERROR(IFERROR(IMAGE("https://commons.wikimedia.org/wiki/Special:FilePath/Kuwait_Kuwait_Liberation_Medal_ribbon.svg?width=110"),IFERROR(IMAGE("https://commons.wikimedia.org/wiki/Special:FilePath/Kuwait_Kuwait_Liberation_Medal_ribbon.png?width=110"),IFERROR(IMAGE("https://commons.wikimedia.org/wiki/Special:FilePath/Kuwait_Liberation_Medal_Kuwait_ribbon.svg?width=110"),IFERROR(IMAGE("https://commons.wikimedia.org/wiki/Special:FilePath/Kuwait_Liberation_Medal_Kuwait_ribbon.png?width=110"),IFERROR(IMAGE("https://commons.wikimedia.org/wiki/Special:FilePath/Kuwait_Liberation_Medal_Kuwait.svg?width=110"),IFERROR(IMAGE("https://commons.wikimedia.org/wiki/Special:FilePath/Kuwait_Liberation_Medal_Kuwait.png?width=110"),IFERROR(IMAGE("https://commons.wikimedia.org/wiki/Special:FilePath/Kuwait_Liberation_Medal_ribbon.svg?width=110"),IMAGE("https://commons.wikimedia.org/wiki/Special:FilePath/Kuwait_Liberation_Medal_ribbon.png?width=110")))))))),"")</f>
        <v/>
      </c>
      <c r="F51" s="11" t="inlineStr">
        <is>
          <t>https://commons.wikimedia.org/wiki/Special:FilePath/Kuwait_Kuwait_Liberation_Medal_ribbon.svg?width=110</t>
        </is>
      </c>
      <c r="G51" s="6" t="inlineStr">
        <is>
          <t>Kuwait</t>
        </is>
      </c>
      <c r="H51" s="6" t="inlineStr"/>
      <c r="I51" s="2" t="inlineStr">
        <is>
          <t>https://en.wikipedia.org/wiki/Awards_and_decorations_of_the_United_States_Armed_Forces</t>
        </is>
      </c>
    </row>
    <row r="52" ht="44" customHeight="1">
      <c r="A52" s="4" t="inlineStr">
        <is>
          <t>Foreign and international awards</t>
        </is>
      </c>
      <c r="B52" s="4" t="inlineStr">
        <is>
          <t>Persian Gulf War</t>
        </is>
      </c>
      <c r="C52" s="9" t="n">
        <v>51</v>
      </c>
      <c r="D52" s="10" t="inlineStr">
        <is>
          <t>Kuwait Liberation Medal</t>
        </is>
      </c>
      <c r="E52" s="5">
        <f>IFERROR(IFERROR(IMAGE("https://commons.wikimedia.org/wiki/Special:FilePath/Saudi_Arabia_Kuwait_Liberation_Medal_ribbon.svg?width=110"),IFERROR(IMAGE("https://commons.wikimedia.org/wiki/Special:FilePath/Saudi_Arabia_Kuwait_Liberation_Medal_ribbon.png?width=110"),IFERROR(IMAGE("https://commons.wikimedia.org/wiki/Special:FilePath/Kuwait_Liberation_Medal_Saudi_Arabia_ribbon.svg?width=110"),IFERROR(IMAGE("https://commons.wikimedia.org/wiki/Special:FilePath/Kuwait_Liberation_Medal_Saudi_Arabia_ribbon.png?width=110"),IFERROR(IMAGE("https://commons.wikimedia.org/wiki/Special:FilePath/Kuwait_Liberation_Medal_Saudi_Arabia.svg?width=110"),IFERROR(IMAGE("https://commons.wikimedia.org/wiki/Special:FilePath/Kuwait_Liberation_Medal_Saudi_Arabia.png?width=110"),IFERROR(IMAGE("https://commons.wikimedia.org/wiki/Special:FilePath/Kuwait_Liberation_Medal_ribbon.svg?width=110"),IMAGE("https://commons.wikimedia.org/wiki/Special:FilePath/Kuwait_Liberation_Medal_ribbon.png?width=110")))))))),"")</f>
        <v/>
      </c>
      <c r="F52" s="11" t="inlineStr">
        <is>
          <t>https://commons.wikimedia.org/wiki/Special:FilePath/Saudi_Arabia_Kuwait_Liberation_Medal_ribbon.svg?width=110</t>
        </is>
      </c>
      <c r="G52" s="4" t="inlineStr">
        <is>
          <t>Saudi Arabia</t>
        </is>
      </c>
      <c r="H52" s="4" t="inlineStr"/>
      <c r="I52" s="2" t="inlineStr">
        <is>
          <t>https://en.wikipedia.org/wiki/Awards_and_decorations_of_the_United_States_Armed_Forces</t>
        </is>
      </c>
    </row>
    <row r="53" ht="44" customHeight="1">
      <c r="A53" s="6" t="inlineStr">
        <is>
          <t>Foreign and international awards</t>
        </is>
      </c>
      <c r="B53" s="6" t="inlineStr">
        <is>
          <t>International awards (20th Century)</t>
        </is>
      </c>
      <c r="C53" s="9" t="n">
        <v>52</v>
      </c>
      <c r="D53" s="12" t="inlineStr">
        <is>
          <t>United Nations Medal</t>
        </is>
      </c>
      <c r="E53" s="7">
        <f>IFERROR(IFERROR(IMAGE("https://commons.wikimedia.org/wiki/Special:FilePath/United_Nations_Medal_ribbon.svg?width=110"),IFERROR(IMAGE("https://commons.wikimedia.org/wiki/Special:FilePath/United_Nations_Medal_ribbon.png?width=110"),IFERROR(IMAGE("https://commons.wikimedia.org/wiki/Special:FilePath/United_Nations_Medal.svg?width=110"),IMAGE("https://commons.wikimedia.org/wiki/Special:FilePath/United_Nations_Medal.png?width=110")))),"")</f>
        <v/>
      </c>
      <c r="F53" s="11" t="inlineStr">
        <is>
          <t>https://commons.wikimedia.org/wiki/Special:FilePath/United_Nations_Medal_ribbon.svg?width=110</t>
        </is>
      </c>
      <c r="G53" s="6" t="inlineStr"/>
      <c r="H53" s="6" t="inlineStr"/>
      <c r="I53" s="2" t="inlineStr">
        <is>
          <t>https://en.wikipedia.org/wiki/Awards_and_decorations_of_the_United_States_Armed_Forces</t>
        </is>
      </c>
    </row>
    <row r="54" ht="44" customHeight="1">
      <c r="A54" s="4" t="inlineStr">
        <is>
          <t>Foreign and international awards</t>
        </is>
      </c>
      <c r="B54" s="4" t="inlineStr">
        <is>
          <t>International awards (20th Century)</t>
        </is>
      </c>
      <c r="C54" s="9" t="n">
        <v>53</v>
      </c>
      <c r="D54" s="10" t="inlineStr">
        <is>
          <t>Multinational Force and Observers Medal</t>
        </is>
      </c>
      <c r="E54" s="5">
        <f>IFERROR(IFERROR(IMAGE("https://commons.wikimedia.org/wiki/Special:FilePath/Multinational_Force_and_Observers_Medal_ribbon.svg?width=110"),IFERROR(IMAGE("https://commons.wikimedia.org/wiki/Special:FilePath/Multinational_Force_and_Observers_Medal_ribbon.png?width=110"),IFERROR(IMAGE("https://commons.wikimedia.org/wiki/Special:FilePath/Multinational_Force_and_Observers_Medal.svg?width=110"),IMAGE("https://commons.wikimedia.org/wiki/Special:FilePath/Multinational_Force_and_Observers_Medal.png?width=110")))),"")</f>
        <v/>
      </c>
      <c r="F54" s="11" t="inlineStr">
        <is>
          <t>https://commons.wikimedia.org/wiki/Special:FilePath/Multinational_Force_and_Observers_Medal_ribbon.svg?width=110</t>
        </is>
      </c>
      <c r="G54" s="4" t="inlineStr"/>
      <c r="H54" s="4" t="inlineStr"/>
      <c r="I54" s="2" t="inlineStr">
        <is>
          <t>https://en.wikipedia.org/wiki/Awards_and_decorations_of_the_United_States_Armed_Forces</t>
        </is>
      </c>
    </row>
    <row r="55" ht="44" customHeight="1">
      <c r="A55" s="6" t="inlineStr">
        <is>
          <t>Foreign and international awards</t>
        </is>
      </c>
      <c r="B55" s="6" t="inlineStr">
        <is>
          <t>International awards (20th Century)</t>
        </is>
      </c>
      <c r="C55" s="9" t="n">
        <v>54</v>
      </c>
      <c r="D55" s="12" t="inlineStr">
        <is>
          <t>Inter-American Defense Board Medal</t>
        </is>
      </c>
      <c r="E55" s="7">
        <f>IFERROR(IFERROR(IMAGE("https://commons.wikimedia.org/wiki/Special:FilePath/Inter-American_Defense_Board_Medal_ribbon.svg?width=110"),IFERROR(IMAGE("https://commons.wikimedia.org/wiki/Special:FilePath/Inter-American_Defense_Board_Medal_ribbon.png?width=110"),IFERROR(IMAGE("https://commons.wikimedia.org/wiki/Special:FilePath/Inter-American_Defense_Board_Medal.svg?width=110"),IMAGE("https://commons.wikimedia.org/wiki/Special:FilePath/Inter-American_Defense_Board_Medal.png?width=110")))),"")</f>
        <v/>
      </c>
      <c r="F55" s="11" t="inlineStr">
        <is>
          <t>https://commons.wikimedia.org/wiki/Special:FilePath/Inter-American_Defense_Board_Medal_ribbon.svg?width=110</t>
        </is>
      </c>
      <c r="G55" s="6" t="inlineStr"/>
      <c r="H55" s="6" t="inlineStr"/>
      <c r="I55" s="2" t="inlineStr">
        <is>
          <t>https://en.wikipedia.org/wiki/Awards_and_decorations_of_the_United_States_Armed_Forces</t>
        </is>
      </c>
    </row>
    <row r="56" ht="44" customHeight="1">
      <c r="A56" s="4" t="inlineStr">
        <is>
          <t>Foreign and international awards</t>
        </is>
      </c>
      <c r="B56" s="4" t="inlineStr">
        <is>
          <t>International awards (20th Century)</t>
        </is>
      </c>
      <c r="C56" s="9" t="n">
        <v>55</v>
      </c>
      <c r="D56" s="10" t="inlineStr">
        <is>
          <t>NATO Medal</t>
        </is>
      </c>
      <c r="E56" s="5">
        <f>IFERROR(IFERROR(IMAGE("https://commons.wikimedia.org/wiki/Special:FilePath/Yugoslavia_NATO_Medal_ribbon.svg?width=110"),IFERROR(IMAGE("https://commons.wikimedia.org/wiki/Special:FilePath/Yugoslavia_NATO_Medal_ribbon.png?width=110"),IFERROR(IMAGE("https://commons.wikimedia.org/wiki/Special:FilePath/NATO_Medal_Yugoslavia_ribbon.svg?width=110"),IFERROR(IMAGE("https://commons.wikimedia.org/wiki/Special:FilePath/NATO_Medal_Yugoslavia_ribbon.png?width=110"),IFERROR(IMAGE("https://commons.wikimedia.org/wiki/Special:FilePath/NATO_Medal_Yugoslavia.svg?width=110"),IFERROR(IMAGE("https://commons.wikimedia.org/wiki/Special:FilePath/NATO_Medal_Yugoslavia.png?width=110"),IFERROR(IMAGE("https://commons.wikimedia.org/wiki/Special:FilePath/NATO_Medal_ribbon.svg?width=110"),IMAGE("https://commons.wikimedia.org/wiki/Special:FilePath/NATO_Medal_ribbon.png?width=110")))))))),"")</f>
        <v/>
      </c>
      <c r="F56" s="11" t="inlineStr">
        <is>
          <t>https://commons.wikimedia.org/wiki/Special:FilePath/Yugoslavia_NATO_Medal_ribbon.svg?width=110</t>
        </is>
      </c>
      <c r="G56" s="4" t="inlineStr">
        <is>
          <t>Yugoslavia</t>
        </is>
      </c>
      <c r="H56" s="4" t="inlineStr"/>
      <c r="I56" s="2" t="inlineStr">
        <is>
          <t>https://en.wikipedia.org/wiki/Awards_and_decorations_of_the_United_States_Armed_Forces</t>
        </is>
      </c>
    </row>
    <row r="57" ht="44" customHeight="1">
      <c r="A57" s="6" t="inlineStr">
        <is>
          <t>Foreign and international awards</t>
        </is>
      </c>
      <c r="B57" s="6" t="inlineStr">
        <is>
          <t>International awards (20th Century)</t>
        </is>
      </c>
      <c r="C57" s="9" t="n">
        <v>56</v>
      </c>
      <c r="D57" s="12" t="inlineStr">
        <is>
          <t>NATO Medal</t>
        </is>
      </c>
      <c r="E57" s="7">
        <f>IFERROR(IFERROR(IMAGE("https://commons.wikimedia.org/wiki/Special:FilePath/Kosovo_NATO_Medal_ribbon.svg?width=110"),IFERROR(IMAGE("https://commons.wikimedia.org/wiki/Special:FilePath/Kosovo_NATO_Medal_ribbon.png?width=110"),IFERROR(IMAGE("https://commons.wikimedia.org/wiki/Special:FilePath/NATO_Medal_Kosovo_ribbon.svg?width=110"),IFERROR(IMAGE("https://commons.wikimedia.org/wiki/Special:FilePath/NATO_Medal_Kosovo_ribbon.png?width=110"),IFERROR(IMAGE("https://commons.wikimedia.org/wiki/Special:FilePath/NATO_Medal_Kosovo.svg?width=110"),IFERROR(IMAGE("https://commons.wikimedia.org/wiki/Special:FilePath/NATO_Medal_Kosovo.png?width=110"),IFERROR(IMAGE("https://commons.wikimedia.org/wiki/Special:FilePath/NATO_Medal_ribbon.svg?width=110"),IMAGE("https://commons.wikimedia.org/wiki/Special:FilePath/NATO_Medal_ribbon.png?width=110")))))))),"")</f>
        <v/>
      </c>
      <c r="F57" s="11" t="inlineStr">
        <is>
          <t>https://commons.wikimedia.org/wiki/Special:FilePath/Kosovo_NATO_Medal_ribbon.svg?width=110</t>
        </is>
      </c>
      <c r="G57" s="6" t="inlineStr">
        <is>
          <t>Kosovo</t>
        </is>
      </c>
      <c r="H57" s="6" t="inlineStr"/>
      <c r="I57" s="2" t="inlineStr">
        <is>
          <t>https://en.wikipedia.org/wiki/Awards_and_decorations_of_the_United_States_Armed_Forces</t>
        </is>
      </c>
    </row>
    <row r="58" ht="44" customHeight="1">
      <c r="A58" s="4" t="inlineStr">
        <is>
          <t>Foreign and international awards</t>
        </is>
      </c>
      <c r="B58" s="4" t="inlineStr">
        <is>
          <t>International awards (20th Century)</t>
        </is>
      </c>
      <c r="C58" s="9" t="n">
        <v>57</v>
      </c>
      <c r="D58" s="10" t="inlineStr">
        <is>
          <t>NATO Medal</t>
        </is>
      </c>
      <c r="E58" s="5">
        <f>IFERROR(IFERROR(IMAGE("https://commons.wikimedia.org/wiki/Special:FilePath/Non-Article_5_NATO_Medal_ribbon.svg?width=110"),IFERROR(IMAGE("https://commons.wikimedia.org/wiki/Special:FilePath/Non-Article_5_NATO_Medal_ribbon.png?width=110"),IFERROR(IMAGE("https://commons.wikimedia.org/wiki/Special:FilePath/NATO_Medal_Non-Article_5_ribbon.svg?width=110"),IFERROR(IMAGE("https://commons.wikimedia.org/wiki/Special:FilePath/NATO_Medal_Non-Article_5_ribbon.png?width=110"),IFERROR(IMAGE("https://commons.wikimedia.org/wiki/Special:FilePath/NATO_Medal_Non-Article_5.svg?width=110"),IFERROR(IMAGE("https://commons.wikimedia.org/wiki/Special:FilePath/NATO_Medal_Non-Article_5.png?width=110"),IFERROR(IMAGE("https://commons.wikimedia.org/wiki/Special:FilePath/NATO_Medal_ribbon.svg?width=110"),IMAGE("https://commons.wikimedia.org/wiki/Special:FilePath/NATO_Medal_ribbon.png?width=110")))))))),"")</f>
        <v/>
      </c>
      <c r="F58" s="11" t="inlineStr">
        <is>
          <t>https://commons.wikimedia.org/wiki/Special:FilePath/Non-Article_5_NATO_Medal_ribbon.svg?width=110</t>
        </is>
      </c>
      <c r="G58" s="4" t="inlineStr">
        <is>
          <t>Non-Article 5</t>
        </is>
      </c>
      <c r="H58" s="4" t="inlineStr"/>
      <c r="I58" s="2" t="inlineStr">
        <is>
          <t>https://en.wikipedia.org/wiki/Awards_and_decorations_of_the_United_States_Armed_Forces</t>
        </is>
      </c>
    </row>
    <row r="59" ht="44" customHeight="1">
      <c r="A59" s="6" t="inlineStr">
        <is>
          <t>Foreign and international awards</t>
        </is>
      </c>
      <c r="B59" s="6" t="inlineStr">
        <is>
          <t>Senior military awards (21st Century)</t>
        </is>
      </c>
      <c r="C59" s="9" t="n">
        <v>58</v>
      </c>
      <c r="D59" s="12" t="inlineStr">
        <is>
          <t>Aeronautical Merit Cross</t>
        </is>
      </c>
      <c r="E59" s="7">
        <f>IFERROR(IFERROR(IMAGE("https://commons.wikimedia.org/wiki/Special:FilePath/Peru_Aeronautical_Merit_Cross_ribbon.svg?width=110"),IFERROR(IMAGE("https://commons.wikimedia.org/wiki/Special:FilePath/Peru_Aeronautical_Merit_Cross_ribbon.png?width=110"),IFERROR(IMAGE("https://commons.wikimedia.org/wiki/Special:FilePath/Aeronautical_Merit_Cross_Peru_ribbon.svg?width=110"),IFERROR(IMAGE("https://commons.wikimedia.org/wiki/Special:FilePath/Aeronautical_Merit_Cross_Peru_ribbon.png?width=110"),IFERROR(IMAGE("https://commons.wikimedia.org/wiki/Special:FilePath/Aeronautical_Merit_Cross_Peru.svg?width=110"),IFERROR(IMAGE("https://commons.wikimedia.org/wiki/Special:FilePath/Aeronautical_Merit_Cross_Peru.png?width=110"),IFERROR(IMAGE("https://commons.wikimedia.org/wiki/Special:FilePath/Aeronautical_Merit_Cross_ribbon.svg?width=110"),IMAGE("https://commons.wikimedia.org/wiki/Special:FilePath/Aeronautical_Merit_Cross_ribbon.png?width=110")))))))),"")</f>
        <v/>
      </c>
      <c r="F59" s="11" t="inlineStr">
        <is>
          <t>https://commons.wikimedia.org/wiki/Special:FilePath/Peru_Aeronautical_Merit_Cross_ribbon.svg?width=110</t>
        </is>
      </c>
      <c r="G59" s="6" t="inlineStr">
        <is>
          <t>Peru</t>
        </is>
      </c>
      <c r="H59" s="6" t="inlineStr"/>
      <c r="I59" s="2" t="inlineStr">
        <is>
          <t>https://en.wikipedia.org/wiki/Awards_and_decorations_of_the_United_States_Armed_Forces</t>
        </is>
      </c>
    </row>
    <row r="60" ht="44" customHeight="1">
      <c r="A60" s="4" t="inlineStr">
        <is>
          <t>Foreign and international awards</t>
        </is>
      </c>
      <c r="B60" s="4" t="inlineStr">
        <is>
          <t>Senior military awards (21st Century)</t>
        </is>
      </c>
      <c r="C60" s="9" t="n">
        <v>59</v>
      </c>
      <c r="D60" s="10" t="inlineStr">
        <is>
          <t>Cross of Honor</t>
        </is>
      </c>
      <c r="E60" s="5">
        <f>IFERROR(IFERROR(IMAGE("https://commons.wikimedia.org/wiki/Special:FilePath/Germany_Cross_of_Honor_ribbon.svg?width=110"),IFERROR(IMAGE("https://commons.wikimedia.org/wiki/Special:FilePath/Germany_Cross_of_Honor_ribbon.png?width=110"),IFERROR(IMAGE("https://commons.wikimedia.org/wiki/Special:FilePath/Cross_of_Honor_Germany_ribbon.svg?width=110"),IFERROR(IMAGE("https://commons.wikimedia.org/wiki/Special:FilePath/Cross_of_Honor_Germany_ribbon.png?width=110"),IFERROR(IMAGE("https://commons.wikimedia.org/wiki/Special:FilePath/Cross_of_Honor_Germany.svg?width=110"),IFERROR(IMAGE("https://commons.wikimedia.org/wiki/Special:FilePath/Cross_of_Honor_Germany.png?width=110"),IFERROR(IMAGE("https://commons.wikimedia.org/wiki/Special:FilePath/Cross_of_Honor_ribbon.svg?width=110"),IMAGE("https://commons.wikimedia.org/wiki/Special:FilePath/Cross_of_Honor_ribbon.png?width=110")))))))),"")</f>
        <v/>
      </c>
      <c r="F60" s="11" t="inlineStr">
        <is>
          <t>https://commons.wikimedia.org/wiki/Special:FilePath/Germany_Cross_of_Honor_ribbon.svg?width=110</t>
        </is>
      </c>
      <c r="G60" s="4" t="inlineStr">
        <is>
          <t>Germany</t>
        </is>
      </c>
      <c r="H60" s="4" t="inlineStr"/>
      <c r="I60" s="2" t="inlineStr">
        <is>
          <t>https://en.wikipedia.org/wiki/Awards_and_decorations_of_the_United_States_Armed_Forces</t>
        </is>
      </c>
    </row>
    <row r="61" ht="44" customHeight="1">
      <c r="A61" s="6" t="inlineStr">
        <is>
          <t>Foreign and international awards</t>
        </is>
      </c>
      <c r="B61" s="6" t="inlineStr">
        <is>
          <t>Senior military awards (21st Century)</t>
        </is>
      </c>
      <c r="C61" s="9" t="n">
        <v>60</v>
      </c>
      <c r="D61" s="12" t="inlineStr">
        <is>
          <t>Khalifiyyeh Order of</t>
        </is>
      </c>
      <c r="E61" s="7">
        <f>IFERROR(IFERROR(IMAGE("https://commons.wikimedia.org/wiki/Special:FilePath/Bahrain_Khalifiyyeh_Order_of_ribbon.svg?width=110"),IFERROR(IMAGE("https://commons.wikimedia.org/wiki/Special:FilePath/Bahrain_Khalifiyyeh_Order_of_ribbon.png?width=110"),IFERROR(IMAGE("https://commons.wikimedia.org/wiki/Special:FilePath/Khalifiyyeh_Order_of_Bahrain_ribbon.svg?width=110"),IFERROR(IMAGE("https://commons.wikimedia.org/wiki/Special:FilePath/Khalifiyyeh_Order_of_Bahrain_ribbon.png?width=110"),IFERROR(IMAGE("https://commons.wikimedia.org/wiki/Special:FilePath/Khalifiyyeh_Order_of_Bahrain.svg?width=110"),IFERROR(IMAGE("https://commons.wikimedia.org/wiki/Special:FilePath/Khalifiyyeh_Order_of_Bahrain.png?width=110"),IFERROR(IMAGE("https://commons.wikimedia.org/wiki/Special:FilePath/Khalifiyyeh_Order_of_ribbon.svg?width=110"),IMAGE("https://commons.wikimedia.org/wiki/Special:FilePath/Khalifiyyeh_Order_of_ribbon.png?width=110")))))))),"")</f>
        <v/>
      </c>
      <c r="F61" s="11" t="inlineStr">
        <is>
          <t>https://commons.wikimedia.org/wiki/Special:FilePath/Bahrain_Khalifiyyeh_Order_of_ribbon.svg?width=110</t>
        </is>
      </c>
      <c r="G61" s="6" t="inlineStr">
        <is>
          <t>Bahrain</t>
        </is>
      </c>
      <c r="H61" s="6" t="inlineStr"/>
      <c r="I61" s="2" t="inlineStr">
        <is>
          <t>https://en.wikipedia.org/wiki/Awards_and_decorations_of_the_United_States_Armed_Forces</t>
        </is>
      </c>
    </row>
    <row r="62" ht="44" customHeight="1">
      <c r="A62" s="4" t="inlineStr">
        <is>
          <t>Foreign and international awards</t>
        </is>
      </c>
      <c r="B62" s="4" t="inlineStr">
        <is>
          <t>Senior military awards (21st Century)</t>
        </is>
      </c>
      <c r="C62" s="9" t="n">
        <v>61</v>
      </c>
      <c r="D62" s="10" t="inlineStr">
        <is>
          <t>Military Merit Order</t>
        </is>
      </c>
      <c r="E62" s="5">
        <f>IFERROR(IFERROR(IMAGE("https://commons.wikimedia.org/wiki/Special:FilePath/United_Arab_Emirates_Military_Merit_Order_ribbon.svg?width=110"),IFERROR(IMAGE("https://commons.wikimedia.org/wiki/Special:FilePath/United_Arab_Emirates_Military_Merit_Order_ribbon.png?width=110"),IFERROR(IMAGE("https://commons.wikimedia.org/wiki/Special:FilePath/Military_Merit_Order_United_Arab_Emirates_ribbon.svg?width=110"),IFERROR(IMAGE("https://commons.wikimedia.org/wiki/Special:FilePath/Military_Merit_Order_United_Arab_Emirates_ribbon.png?width=110"),IFERROR(IMAGE("https://commons.wikimedia.org/wiki/Special:FilePath/Military_Merit_Order_United_Arab_Emirates.svg?width=110"),IFERROR(IMAGE("https://commons.wikimedia.org/wiki/Special:FilePath/Military_Merit_Order_United_Arab_Emirates.png?width=110"),IFERROR(IMAGE("https://commons.wikimedia.org/wiki/Special:FilePath/Military_Merit_Order_ribbon.svg?width=110"),IMAGE("https://commons.wikimedia.org/wiki/Special:FilePath/Military_Merit_Order_ribbon.png?width=110")))))))),"")</f>
        <v/>
      </c>
      <c r="F62" s="11" t="inlineStr">
        <is>
          <t>https://commons.wikimedia.org/wiki/Special:FilePath/United_Arab_Emirates_Military_Merit_Order_ribbon.svg?width=110</t>
        </is>
      </c>
      <c r="G62" s="4" t="inlineStr">
        <is>
          <t>United Arab Emirates</t>
        </is>
      </c>
      <c r="H62" s="4" t="inlineStr"/>
      <c r="I62" s="2" t="inlineStr">
        <is>
          <t>https://en.wikipedia.org/wiki/Awards_and_decorations_of_the_United_States_Armed_Forces</t>
        </is>
      </c>
    </row>
    <row r="63" ht="44" customHeight="1">
      <c r="A63" s="6" t="inlineStr">
        <is>
          <t>Foreign and international awards</t>
        </is>
      </c>
      <c r="B63" s="6" t="inlineStr">
        <is>
          <t>Senior military awards (21st Century)</t>
        </is>
      </c>
      <c r="C63" s="9" t="n">
        <v>62</v>
      </c>
      <c r="D63" s="12" t="inlineStr">
        <is>
          <t>Order of the Crown of Thailand</t>
        </is>
      </c>
      <c r="E63" s="7">
        <f>IFERROR(IFERROR(IMAGE("https://commons.wikimedia.org/wiki/Special:FilePath/Order_of_the_Crown_of_Thailand_ribbon.svg?width=110"),IFERROR(IMAGE("https://commons.wikimedia.org/wiki/Special:FilePath/Order_of_the_Crown_of_Thailand_ribbon.png?width=110"),IFERROR(IMAGE("https://commons.wikimedia.org/wiki/Special:FilePath/Order_of_the_Crown_of_Thailand.svg?width=110"),IMAGE("https://commons.wikimedia.org/wiki/Special:FilePath/Order_of_the_Crown_of_Thailand.png?width=110")))),"")</f>
        <v/>
      </c>
      <c r="F63" s="11" t="inlineStr">
        <is>
          <t>https://commons.wikimedia.org/wiki/Special:FilePath/Order_of_the_Crown_of_Thailand_ribbon.svg?width=110</t>
        </is>
      </c>
      <c r="G63" s="6" t="inlineStr"/>
      <c r="H63" s="6" t="inlineStr"/>
      <c r="I63" s="2" t="inlineStr">
        <is>
          <t>https://en.wikipedia.org/wiki/Awards_and_decorations_of_the_United_States_Armed_Forces</t>
        </is>
      </c>
    </row>
    <row r="64" ht="44" customHeight="1">
      <c r="A64" s="4" t="inlineStr">
        <is>
          <t>Foreign and international awards</t>
        </is>
      </c>
      <c r="B64" s="4" t="inlineStr">
        <is>
          <t>Senior military awards (21st Century)</t>
        </is>
      </c>
      <c r="C64" s="9" t="n">
        <v>63</v>
      </c>
      <c r="D64" s="10" t="inlineStr">
        <is>
          <t>Order of the Date Palm</t>
        </is>
      </c>
      <c r="E64" s="5">
        <f>IFERROR(IFERROR(IMAGE("https://commons.wikimedia.org/wiki/Special:FilePath/Iraq_Order_of_the_Date_Palm_ribbon.svg?width=110"),IFERROR(IMAGE("https://commons.wikimedia.org/wiki/Special:FilePath/Iraq_Order_of_the_Date_Palm_ribbon.png?width=110"),IFERROR(IMAGE("https://commons.wikimedia.org/wiki/Special:FilePath/Order_of_the_Date_Palm_Iraq_ribbon.svg?width=110"),IFERROR(IMAGE("https://commons.wikimedia.org/wiki/Special:FilePath/Order_of_the_Date_Palm_Iraq_ribbon.png?width=110"),IFERROR(IMAGE("https://commons.wikimedia.org/wiki/Special:FilePath/Order_of_the_Date_Palm_Iraq.svg?width=110"),IFERROR(IMAGE("https://commons.wikimedia.org/wiki/Special:FilePath/Order_of_the_Date_Palm_Iraq.png?width=110"),IFERROR(IMAGE("https://commons.wikimedia.org/wiki/Special:FilePath/Order_of_the_Date_Palm_ribbon.svg?width=110"),IMAGE("https://commons.wikimedia.org/wiki/Special:FilePath/Order_of_the_Date_Palm_ribbon.png?width=110")))))))),"")</f>
        <v/>
      </c>
      <c r="F64" s="11" t="inlineStr">
        <is>
          <t>https://commons.wikimedia.org/wiki/Special:FilePath/Iraq_Order_of_the_Date_Palm_ribbon.svg?width=110</t>
        </is>
      </c>
      <c r="G64" s="4" t="inlineStr">
        <is>
          <t>Iraq</t>
        </is>
      </c>
      <c r="H64" s="4" t="inlineStr"/>
      <c r="I64" s="2" t="inlineStr">
        <is>
          <t>https://en.wikipedia.org/wiki/Awards_and_decorations_of_the_United_States_Armed_Forces</t>
        </is>
      </c>
    </row>
    <row r="65" ht="44" customHeight="1">
      <c r="A65" s="6" t="inlineStr">
        <is>
          <t>Foreign and international awards</t>
        </is>
      </c>
      <c r="B65" s="6" t="inlineStr">
        <is>
          <t>Senior military awards (21st Century)</t>
        </is>
      </c>
      <c r="C65" s="9" t="n">
        <v>64</v>
      </c>
      <c r="D65" s="12" t="inlineStr">
        <is>
          <t>Order of May</t>
        </is>
      </c>
      <c r="E65" s="7">
        <f>IFERROR(IFERROR(IMAGE("https://commons.wikimedia.org/wiki/Special:FilePath/Argentina_Order_of_May_ribbon.svg?width=110"),IFERROR(IMAGE("https://commons.wikimedia.org/wiki/Special:FilePath/Argentina_Order_of_May_ribbon.png?width=110"),IFERROR(IMAGE("https://commons.wikimedia.org/wiki/Special:FilePath/Order_of_May_Argentina_ribbon.svg?width=110"),IFERROR(IMAGE("https://commons.wikimedia.org/wiki/Special:FilePath/Order_of_May_Argentina_ribbon.png?width=110"),IFERROR(IMAGE("https://commons.wikimedia.org/wiki/Special:FilePath/Order_of_May_Argentina.svg?width=110"),IFERROR(IMAGE("https://commons.wikimedia.org/wiki/Special:FilePath/Order_of_May_Argentina.png?width=110"),IFERROR(IMAGE("https://commons.wikimedia.org/wiki/Special:FilePath/Order_of_May_ribbon.svg?width=110"),IMAGE("https://commons.wikimedia.org/wiki/Special:FilePath/Order_of_May_ribbon.png?width=110")))))))),"")</f>
        <v/>
      </c>
      <c r="F65" s="11" t="inlineStr">
        <is>
          <t>https://commons.wikimedia.org/wiki/Special:FilePath/Argentina_Order_of_May_ribbon.svg?width=110</t>
        </is>
      </c>
      <c r="G65" s="6" t="inlineStr">
        <is>
          <t>Argentina</t>
        </is>
      </c>
      <c r="H65" s="6" t="inlineStr"/>
      <c r="I65" s="2" t="inlineStr">
        <is>
          <t>https://en.wikipedia.org/wiki/Awards_and_decorations_of_the_United_States_Armed_Forces</t>
        </is>
      </c>
    </row>
    <row r="66" ht="44" customHeight="1">
      <c r="A66" s="4" t="inlineStr">
        <is>
          <t>Foreign and international awards</t>
        </is>
      </c>
      <c r="B66" s="4" t="inlineStr">
        <is>
          <t>Senior military awards (21st Century)</t>
        </is>
      </c>
      <c r="C66" s="9" t="n">
        <v>65</v>
      </c>
      <c r="D66" s="10" t="inlineStr">
        <is>
          <t>Order of the Sword</t>
        </is>
      </c>
      <c r="E66" s="5">
        <f>IFERROR(IFERROR(IMAGE("https://commons.wikimedia.org/wiki/Special:FilePath/Sweden_Order_of_the_Sword_ribbon.svg?width=110"),IFERROR(IMAGE("https://commons.wikimedia.org/wiki/Special:FilePath/Sweden_Order_of_the_Sword_ribbon.png?width=110"),IFERROR(IMAGE("https://commons.wikimedia.org/wiki/Special:FilePath/Order_of_the_Sword_Sweden_ribbon.svg?width=110"),IFERROR(IMAGE("https://commons.wikimedia.org/wiki/Special:FilePath/Order_of_the_Sword_Sweden_ribbon.png?width=110"),IFERROR(IMAGE("https://commons.wikimedia.org/wiki/Special:FilePath/Order_of_the_Sword_Sweden.svg?width=110"),IFERROR(IMAGE("https://commons.wikimedia.org/wiki/Special:FilePath/Order_of_the_Sword_Sweden.png?width=110"),IFERROR(IMAGE("https://commons.wikimedia.org/wiki/Special:FilePath/Order_of_the_Sword_ribbon.svg?width=110"),IMAGE("https://commons.wikimedia.org/wiki/Special:FilePath/Order_of_the_Sword_ribbon.png?width=110")))))))),"")</f>
        <v/>
      </c>
      <c r="F66" s="11" t="inlineStr">
        <is>
          <t>https://commons.wikimedia.org/wiki/Special:FilePath/Sweden_Order_of_the_Sword_ribbon.svg?width=110</t>
        </is>
      </c>
      <c r="G66" s="4" t="inlineStr">
        <is>
          <t>Sweden</t>
        </is>
      </c>
      <c r="H66" s="4" t="inlineStr"/>
      <c r="I66" s="2" t="inlineStr">
        <is>
          <t>https://en.wikipedia.org/wiki/Awards_and_decorations_of_the_United_States_Armed_Forces</t>
        </is>
      </c>
    </row>
    <row r="67" ht="44" customHeight="1">
      <c r="A67" s="6" t="inlineStr">
        <is>
          <t>Foreign and international awards</t>
        </is>
      </c>
      <c r="B67" s="6" t="inlineStr">
        <is>
          <t>Senior military awards (21st Century)</t>
        </is>
      </c>
      <c r="C67" s="9" t="n">
        <v>66</v>
      </c>
      <c r="D67" s="12" t="inlineStr">
        <is>
          <t>Order of Merit</t>
        </is>
      </c>
      <c r="E67" s="7">
        <f>IFERROR(IFERROR(IMAGE("https://commons.wikimedia.org/wiki/Special:FilePath/Germany_Order_of_Merit_ribbon.svg?width=110"),IFERROR(IMAGE("https://commons.wikimedia.org/wiki/Special:FilePath/Germany_Order_of_Merit_ribbon.png?width=110"),IFERROR(IMAGE("https://commons.wikimedia.org/wiki/Special:FilePath/Order_of_Merit_Germany_ribbon.svg?width=110"),IFERROR(IMAGE("https://commons.wikimedia.org/wiki/Special:FilePath/Order_of_Merit_Germany_ribbon.png?width=110"),IFERROR(IMAGE("https://commons.wikimedia.org/wiki/Special:FilePath/Order_of_Merit_Germany.svg?width=110"),IFERROR(IMAGE("https://commons.wikimedia.org/wiki/Special:FilePath/Order_of_Merit_Germany.png?width=110"),IFERROR(IMAGE("https://commons.wikimedia.org/wiki/Special:FilePath/Order_of_Merit_ribbon.svg?width=110"),IMAGE("https://commons.wikimedia.org/wiki/Special:FilePath/Order_of_Merit_ribbon.png?width=110")))))))),"")</f>
        <v/>
      </c>
      <c r="F67" s="11" t="inlineStr">
        <is>
          <t>https://commons.wikimedia.org/wiki/Special:FilePath/Germany_Order_of_Merit_ribbon.svg?width=110</t>
        </is>
      </c>
      <c r="G67" s="6" t="inlineStr">
        <is>
          <t>Germany</t>
        </is>
      </c>
      <c r="H67" s="6" t="inlineStr"/>
      <c r="I67" s="2" t="inlineStr">
        <is>
          <t>https://en.wikipedia.org/wiki/Awards_and_decorations_of_the_United_States_Armed_Forces</t>
        </is>
      </c>
    </row>
    <row r="68" ht="44" customHeight="1">
      <c r="A68" s="4" t="inlineStr">
        <is>
          <t>Foreign and international awards</t>
        </is>
      </c>
      <c r="B68" s="4" t="inlineStr">
        <is>
          <t>Senior military awards (21st Century)</t>
        </is>
      </c>
      <c r="C68" s="9" t="n">
        <v>67</v>
      </c>
      <c r="D68" s="10" t="inlineStr">
        <is>
          <t>Order of Merit of the Italian Republic</t>
        </is>
      </c>
      <c r="E68" s="5">
        <f>IFERROR(IFERROR(IMAGE("https://commons.wikimedia.org/wiki/Special:FilePath/Order_of_Merit_of_the_Italian_Republic_ribbon.svg?width=110"),IFERROR(IMAGE("https://commons.wikimedia.org/wiki/Special:FilePath/Order_of_Merit_of_the_Italian_Republic_ribbon.png?width=110"),IFERROR(IMAGE("https://commons.wikimedia.org/wiki/Special:FilePath/Order_of_Merit_of_the_Italian_Republic.svg?width=110"),IMAGE("https://commons.wikimedia.org/wiki/Special:FilePath/Order_of_Merit_of_the_Italian_Republic.png?width=110")))),"")</f>
        <v/>
      </c>
      <c r="F68" s="11" t="inlineStr">
        <is>
          <t>https://commons.wikimedia.org/wiki/Special:FilePath/Order_of_Merit_of_the_Italian_Republic_ribbon.svg?width=110</t>
        </is>
      </c>
      <c r="G68" s="4" t="inlineStr"/>
      <c r="H68" s="4" t="inlineStr"/>
      <c r="I68" s="2" t="inlineStr">
        <is>
          <t>https://en.wikipedia.org/wiki/Awards_and_decorations_of_the_United_States_Armed_Forces</t>
        </is>
      </c>
    </row>
    <row r="69" ht="44" customHeight="1">
      <c r="A69" s="6" t="inlineStr">
        <is>
          <t>Foreign and international awards</t>
        </is>
      </c>
      <c r="B69" s="6" t="inlineStr">
        <is>
          <t>Senior military awards (21st Century)</t>
        </is>
      </c>
      <c r="C69" s="9" t="n">
        <v>68</v>
      </c>
      <c r="D69" s="12" t="inlineStr">
        <is>
          <t>Order of National Security Merit</t>
        </is>
      </c>
      <c r="E69" s="7">
        <f>IFERROR(IFERROR(IMAGE("https://commons.wikimedia.org/wiki/Special:FilePath/Korea_Order_of_National_Security_Merit_ribbon.svg?width=110"),IFERROR(IMAGE("https://commons.wikimedia.org/wiki/Special:FilePath/Korea_Order_of_National_Security_Merit_ribbon.png?width=110"),IFERROR(IMAGE("https://commons.wikimedia.org/wiki/Special:FilePath/Order_of_National_Security_Merit_Korea_ribbon.svg?width=110"),IFERROR(IMAGE("https://commons.wikimedia.org/wiki/Special:FilePath/Order_of_National_Security_Merit_Korea_ribbon.png?width=110"),IFERROR(IMAGE("https://commons.wikimedia.org/wiki/Special:FilePath/Order_of_National_Security_Merit_Korea.svg?width=110"),IFERROR(IMAGE("https://commons.wikimedia.org/wiki/Special:FilePath/Order_of_National_Security_Merit_Korea.png?width=110"),IFERROR(IMAGE("https://commons.wikimedia.org/wiki/Special:FilePath/Order_of_National_Security_Merit_ribbon.svg?width=110"),IMAGE("https://commons.wikimedia.org/wiki/Special:FilePath/Order_of_National_Security_Merit_ribbon.png?width=110")))))))),"")</f>
        <v/>
      </c>
      <c r="F69" s="11" t="inlineStr">
        <is>
          <t>https://commons.wikimedia.org/wiki/Special:FilePath/Korea_Order_of_National_Security_Merit_ribbon.svg?width=110</t>
        </is>
      </c>
      <c r="G69" s="6" t="inlineStr">
        <is>
          <t>Korea</t>
        </is>
      </c>
      <c r="H69" s="6" t="inlineStr"/>
      <c r="I69" s="2" t="inlineStr">
        <is>
          <t>https://en.wikipedia.org/wiki/Awards_and_decorations_of_the_United_States_Armed_Forces</t>
        </is>
      </c>
    </row>
    <row r="70" ht="44" customHeight="1">
      <c r="A70" s="4" t="inlineStr">
        <is>
          <t>Foreign and international awards</t>
        </is>
      </c>
      <c r="B70" s="4" t="inlineStr">
        <is>
          <t>Senior military awards (21st Century)</t>
        </is>
      </c>
      <c r="C70" s="9" t="n">
        <v>69</v>
      </c>
      <c r="D70" s="10" t="inlineStr">
        <is>
          <t>Order of the Rising Sun</t>
        </is>
      </c>
      <c r="E70" s="5">
        <f>IFERROR(IFERROR(IMAGE("https://commons.wikimedia.org/wiki/Special:FilePath/Japan_Order_of_the_Rising_Sun_ribbon.svg?width=110"),IFERROR(IMAGE("https://commons.wikimedia.org/wiki/Special:FilePath/Japan_Order_of_the_Rising_Sun_ribbon.png?width=110"),IFERROR(IMAGE("https://commons.wikimedia.org/wiki/Special:FilePath/Order_of_the_Rising_Sun_Japan_ribbon.svg?width=110"),IFERROR(IMAGE("https://commons.wikimedia.org/wiki/Special:FilePath/Order_of_the_Rising_Sun_Japan_ribbon.png?width=110"),IFERROR(IMAGE("https://commons.wikimedia.org/wiki/Special:FilePath/Order_of_the_Rising_Sun_Japan.svg?width=110"),IFERROR(IMAGE("https://commons.wikimedia.org/wiki/Special:FilePath/Order_of_the_Rising_Sun_Japan.png?width=110"),IFERROR(IMAGE("https://commons.wikimedia.org/wiki/Special:FilePath/Order_of_the_Rising_Sun_ribbon.svg?width=110"),IMAGE("https://commons.wikimedia.org/wiki/Special:FilePath/Order_of_the_Rising_Sun_ribbon.png?width=110")))))))),"")</f>
        <v/>
      </c>
      <c r="F70" s="11" t="inlineStr">
        <is>
          <t>https://commons.wikimedia.org/wiki/Special:FilePath/Japan_Order_of_the_Rising_Sun_ribbon.svg?width=110</t>
        </is>
      </c>
      <c r="G70" s="4" t="inlineStr">
        <is>
          <t>Japan</t>
        </is>
      </c>
      <c r="H70" s="4" t="inlineStr"/>
      <c r="I70" s="2" t="inlineStr">
        <is>
          <t>https://en.wikipedia.org/wiki/Awards_and_decorations_of_the_United_States_Armed_Forces</t>
        </is>
      </c>
    </row>
    <row r="71" ht="44" customHeight="1">
      <c r="A71" s="6" t="inlineStr">
        <is>
          <t>Foreign and international awards</t>
        </is>
      </c>
      <c r="B71" s="6" t="inlineStr">
        <is>
          <t>Senior military awards (21st Century)</t>
        </is>
      </c>
      <c r="C71" s="9" t="n">
        <v>70</v>
      </c>
      <c r="D71" s="12" t="inlineStr">
        <is>
          <t>Order of the Southern Cross</t>
        </is>
      </c>
      <c r="E71" s="7">
        <f>IFERROR(IFERROR(IMAGE("https://commons.wikimedia.org/wiki/Special:FilePath/Brazil_Order_of_the_Southern_Cross_ribbon.svg?width=110"),IFERROR(IMAGE("https://commons.wikimedia.org/wiki/Special:FilePath/Brazil_Order_of_the_Southern_Cross_ribbon.png?width=110"),IFERROR(IMAGE("https://commons.wikimedia.org/wiki/Special:FilePath/Order_of_the_Southern_Cross_Brazil_ribbon.svg?width=110"),IFERROR(IMAGE("https://commons.wikimedia.org/wiki/Special:FilePath/Order_of_the_Southern_Cross_Brazil_ribbon.png?width=110"),IFERROR(IMAGE("https://commons.wikimedia.org/wiki/Special:FilePath/Order_of_the_Southern_Cross_Brazil.svg?width=110"),IFERROR(IMAGE("https://commons.wikimedia.org/wiki/Special:FilePath/Order_of_the_Southern_Cross_Brazil.png?width=110"),IFERROR(IMAGE("https://commons.wikimedia.org/wiki/Special:FilePath/Order_of_the_Southern_Cross_ribbon.svg?width=110"),IMAGE("https://commons.wikimedia.org/wiki/Special:FilePath/Order_of_the_Southern_Cross_ribbon.png?width=110")))))))),"")</f>
        <v/>
      </c>
      <c r="F71" s="11" t="inlineStr">
        <is>
          <t>https://commons.wikimedia.org/wiki/Special:FilePath/Brazil_Order_of_the_Southern_Cross_ribbon.svg?width=110</t>
        </is>
      </c>
      <c r="G71" s="6" t="inlineStr">
        <is>
          <t>Brazil</t>
        </is>
      </c>
      <c r="H71" s="6" t="inlineStr"/>
      <c r="I71" s="2" t="inlineStr">
        <is>
          <t>https://en.wikipedia.org/wiki/Awards_and_decorations_of_the_United_States_Armed_Forces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2026-03-29T01:41:30Z</dcterms:created>
  <dcterms:modified xmlns:dcterms="http://purl.org/dc/terms/" xmlns:xsi="http://www.w3.org/2001/XMLSchema-instance" xsi:type="dcterms:W3CDTF">2026-03-29T01:47:06Z</dcterms:modified>
</cp:coreProperties>
</file>